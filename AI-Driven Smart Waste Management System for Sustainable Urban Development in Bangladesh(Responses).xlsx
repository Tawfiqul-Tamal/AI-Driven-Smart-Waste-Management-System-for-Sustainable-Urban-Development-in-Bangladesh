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5DF5CE0-6ADD-4C64-BB46-316B96E62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  <sheet name="Aware &amp; Support Chi-Z test" sheetId="3" r:id="rId2"/>
    <sheet name="Descriptive Statistics" sheetId="6" r:id="rId3"/>
    <sheet name="Pearson Correlation" sheetId="7" r:id="rId4"/>
    <sheet name="Regression" sheetId="8" r:id="rId5"/>
    <sheet name="Household &amp; Waste Chi-Z test" sheetId="9" r:id="rId6"/>
    <sheet name="Gender &amp; Awrare Chi-Z test" sheetId="10" r:id="rId7"/>
    <sheet name="Codes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</calcChain>
</file>

<file path=xl/sharedStrings.xml><?xml version="1.0" encoding="utf-8"?>
<sst xmlns="http://schemas.openxmlformats.org/spreadsheetml/2006/main" count="1851" uniqueCount="123">
  <si>
    <t>Timestamp</t>
  </si>
  <si>
    <t>1. What is your age range?</t>
  </si>
  <si>
    <t xml:space="preserve">2. What is your gender?  </t>
  </si>
  <si>
    <t>3. What is your current occupation?</t>
  </si>
  <si>
    <t xml:space="preserve">4. How many people live in your household?  </t>
  </si>
  <si>
    <t xml:space="preserve"> 5. How much household waste do you generate per day?  </t>
  </si>
  <si>
    <t xml:space="preserve">6. What types of waste do you commonly produce? </t>
  </si>
  <si>
    <t xml:space="preserve">7. How do you currently dispose of your household waste?  </t>
  </si>
  <si>
    <t xml:space="preserve">8. How often is your waste collected by municipal services? </t>
  </si>
  <si>
    <t xml:space="preserve">9. Are you aware of smart/AI-enabled waste management technologies? </t>
  </si>
  <si>
    <t xml:space="preserve">10. Would you support the use of smart bins with sensors for real-time monitoring? </t>
  </si>
  <si>
    <t xml:space="preserve">11. How important is proper waste segregation in your household? </t>
  </si>
  <si>
    <t xml:space="preserve">12. Would you be willing to participate in waste sorting if smart bins are installed in your area? </t>
  </si>
  <si>
    <t>18–25 years</t>
  </si>
  <si>
    <t>Male</t>
  </si>
  <si>
    <t>Student</t>
  </si>
  <si>
    <t>1–2</t>
  </si>
  <si>
    <t>&lt;1 kg</t>
  </si>
  <si>
    <t>Recyclable (plastic, paper, metal)</t>
  </si>
  <si>
    <t>Composting / Recycling at home</t>
  </si>
  <si>
    <t>2–3 times a week</t>
  </si>
  <si>
    <t>Yes</t>
  </si>
  <si>
    <t>No</t>
  </si>
  <si>
    <t>Important</t>
  </si>
  <si>
    <t>Teacher / Educator</t>
  </si>
  <si>
    <t>1–2 kg</t>
  </si>
  <si>
    <t>Organic (food, garden), Recyclable (plastic, paper, metal)</t>
  </si>
  <si>
    <t>Private collector, Dumping in nearby areas</t>
  </si>
  <si>
    <t>Daily</t>
  </si>
  <si>
    <t>Very Important</t>
  </si>
  <si>
    <t>Self-employed</t>
  </si>
  <si>
    <t>3-5</t>
  </si>
  <si>
    <t>Hazardous (batteries, chemicals, medical)</t>
  </si>
  <si>
    <t>Municipal garbage collection, Private collector</t>
  </si>
  <si>
    <t>Not Sure</t>
  </si>
  <si>
    <t>Not Important</t>
  </si>
  <si>
    <t>&gt;5 kg</t>
  </si>
  <si>
    <t>Organic (food, garden), Recyclable (plastic, paper, metal), Hazardous (batteries, chemicals, medical)</t>
  </si>
  <si>
    <t>Municipal garbage collection, Dumping in nearby areas, Composting / Recycling at home</t>
  </si>
  <si>
    <t>Municipal garbage collection, Composting / Recycling at home</t>
  </si>
  <si>
    <t>2–5 kg</t>
  </si>
  <si>
    <t>Municipal garbage collection, Private collector, Composting / Recycling at home</t>
  </si>
  <si>
    <t>Female</t>
  </si>
  <si>
    <t>Organic (food, garden)</t>
  </si>
  <si>
    <t>Municipal garbage collection, Private collector, Dumping in nearby areas</t>
  </si>
  <si>
    <t>Municipal garbage collection</t>
  </si>
  <si>
    <t>Private collector</t>
  </si>
  <si>
    <t>Neutral</t>
  </si>
  <si>
    <t>6+</t>
  </si>
  <si>
    <t>Organic (food, garden), Hazardous (batteries, chemicals, medical)</t>
  </si>
  <si>
    <t>Municipal garbage collection, Dumping in nearby areas</t>
  </si>
  <si>
    <t>Government employee</t>
  </si>
  <si>
    <t>Private sector employee</t>
  </si>
  <si>
    <t>Dumping in nearby areas</t>
  </si>
  <si>
    <t>Dumping in nearby areas, Composting / Recycling at home</t>
  </si>
  <si>
    <t>Recyclable (plastic, paper, metal), Hazardous (batteries, chemicals, medical)</t>
  </si>
  <si>
    <t>25–35 years</t>
  </si>
  <si>
    <t>Unemployed</t>
  </si>
  <si>
    <t>Municipal garbage collection, Private collector, Dumping in nearby areas, Composting / Recycling at home</t>
  </si>
  <si>
    <t>Below 18 years</t>
  </si>
  <si>
    <t>Weekly</t>
  </si>
  <si>
    <t>Private collector, Dumping in nearby areas, Composting / Recycling at home</t>
  </si>
  <si>
    <t>Private collector, Composting / Recycling at home</t>
  </si>
  <si>
    <t>Waste_Code</t>
  </si>
  <si>
    <t>Age Code</t>
  </si>
  <si>
    <t xml:space="preserve">Gender code </t>
  </si>
  <si>
    <t>Household Size Code</t>
  </si>
  <si>
    <t>Aware of ai code</t>
  </si>
  <si>
    <t>Support Bin code</t>
  </si>
  <si>
    <t>Mean</t>
  </si>
  <si>
    <t>Standard Error</t>
  </si>
  <si>
    <t>Standard Deviation</t>
  </si>
  <si>
    <t>Kurtosis</t>
  </si>
  <si>
    <t>Skewness</t>
  </si>
  <si>
    <t>Minimum</t>
  </si>
  <si>
    <t>Maximum</t>
  </si>
  <si>
    <t>Count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</si>
  <si>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</si>
  <si>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</si>
  <si>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</si>
  <si>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</si>
  <si>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</si>
  <si>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</si>
  <si>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</si>
  <si>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</si>
  <si>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</si>
  <si>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Variables</t>
  </si>
  <si>
    <t xml:space="preserve">Age </t>
  </si>
  <si>
    <t xml:space="preserve">Gender </t>
  </si>
  <si>
    <t xml:space="preserve">Household Size </t>
  </si>
  <si>
    <t>Waste</t>
  </si>
  <si>
    <t xml:space="preserve">Aware of ai </t>
  </si>
  <si>
    <t xml:space="preserve">Support Bin </t>
  </si>
  <si>
    <t>Gender</t>
  </si>
  <si>
    <t>Support Bin</t>
  </si>
  <si>
    <t>SUMMARY OUTPUT</t>
  </si>
  <si>
    <t>Regression Statistics</t>
  </si>
  <si>
    <t>Multiple R</t>
  </si>
  <si>
    <t>R Square</t>
  </si>
  <si>
    <t>Adjusted R Square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</si>
  <si>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</si>
  <si>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</si>
  <si>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</si>
  <si>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</si>
  <si>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</si>
  <si>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</si>
  <si>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</si>
  <si>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</si>
  <si>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</si>
  <si>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</si>
  <si>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</si>
  <si>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</si>
  <si>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</si>
  <si>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</si>
  <si>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</si>
  <si>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</si>
  <si>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</si>
  <si>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</si>
  <si>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</si>
  <si>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Support Bin code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</si>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</sst>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4" xfId="0" applyBorder="1"/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2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6" fillId="0" borderId="0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2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centerContinuous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 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Codes!$A$2:$A$144</c:f>
              <c:numCache>
                <c:formatCode>General</c:formatCode>
                <c:ptCount val="1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</c:numCache>
            </c:numRef>
          </c:xVal>
          <c:yVal>
            <c:numRef>
              <c:f>Regression!$C$28:$C$170</c:f>
              <c:numCache>
                <c:formatCode>General</c:formatCode>
                <c:ptCount val="143"/>
                <c:pt idx="0">
                  <c:v>-0.94787554762188275</c:v>
                </c:pt>
                <c:pt idx="1">
                  <c:v>-1.1194120242596808</c:v>
                </c:pt>
                <c:pt idx="2">
                  <c:v>0.15405981272401414</c:v>
                </c:pt>
                <c:pt idx="3">
                  <c:v>-6.6035991257469284E-3</c:v>
                </c:pt>
                <c:pt idx="4">
                  <c:v>-1.0283497287018208</c:v>
                </c:pt>
                <c:pt idx="5">
                  <c:v>0.89146104052835629</c:v>
                </c:pt>
                <c:pt idx="6">
                  <c:v>-0.99584842437807852</c:v>
                </c:pt>
                <c:pt idx="7">
                  <c:v>0.91308928006406154</c:v>
                </c:pt>
                <c:pt idx="8">
                  <c:v>-0.90450117851010348</c:v>
                </c:pt>
                <c:pt idx="9">
                  <c:v>-0.82419405769991194</c:v>
                </c:pt>
                <c:pt idx="10">
                  <c:v>-0.93728743314396068</c:v>
                </c:pt>
                <c:pt idx="11">
                  <c:v>-8.6910719935938463E-2</c:v>
                </c:pt>
                <c:pt idx="12">
                  <c:v>0.2451221082818742</c:v>
                </c:pt>
                <c:pt idx="13">
                  <c:v>-1.0174766639137838</c:v>
                </c:pt>
                <c:pt idx="14">
                  <c:v>0.97165027129817916</c:v>
                </c:pt>
                <c:pt idx="15">
                  <c:v>0.88058797574031922</c:v>
                </c:pt>
                <c:pt idx="16">
                  <c:v>-0.72237658739438348</c:v>
                </c:pt>
                <c:pt idx="17">
                  <c:v>1.0629975171661541</c:v>
                </c:pt>
                <c:pt idx="18">
                  <c:v>1.0954988214898966</c:v>
                </c:pt>
                <c:pt idx="19">
                  <c:v>0.90221621527602469</c:v>
                </c:pt>
                <c:pt idx="20">
                  <c:v>-0.10853895947164371</c:v>
                </c:pt>
                <c:pt idx="21">
                  <c:v>-0.9370024828338458</c:v>
                </c:pt>
                <c:pt idx="22">
                  <c:v>1.0629975171661541</c:v>
                </c:pt>
                <c:pt idx="23">
                  <c:v>1.3788456125873334</c:v>
                </c:pt>
                <c:pt idx="24">
                  <c:v>0.15405981272401414</c:v>
                </c:pt>
                <c:pt idx="25">
                  <c:v>-2.8349728701820842E-2</c:v>
                </c:pt>
                <c:pt idx="26">
                  <c:v>0.97165027129817916</c:v>
                </c:pt>
                <c:pt idx="27">
                  <c:v>0.89146104052835629</c:v>
                </c:pt>
                <c:pt idx="28">
                  <c:v>9.5213871179781639E-2</c:v>
                </c:pt>
                <c:pt idx="29">
                  <c:v>-0.15091521790912821</c:v>
                </c:pt>
                <c:pt idx="30">
                  <c:v>0.10637188627793348</c:v>
                </c:pt>
                <c:pt idx="31">
                  <c:v>1.2180643106972038</c:v>
                </c:pt>
                <c:pt idx="32">
                  <c:v>-0.51933691710713825</c:v>
                </c:pt>
                <c:pt idx="33">
                  <c:v>-1.0283497287018208</c:v>
                </c:pt>
                <c:pt idx="34">
                  <c:v>0.15405981272401414</c:v>
                </c:pt>
                <c:pt idx="35">
                  <c:v>-0.90450117851010348</c:v>
                </c:pt>
                <c:pt idx="36">
                  <c:v>4.1515756219214772E-3</c:v>
                </c:pt>
                <c:pt idx="37">
                  <c:v>1.2884964773936534</c:v>
                </c:pt>
                <c:pt idx="38">
                  <c:v>-0.90478612882021836</c:v>
                </c:pt>
                <c:pt idx="39">
                  <c:v>-0.80256581816420658</c:v>
                </c:pt>
                <c:pt idx="40">
                  <c:v>-0.85681325206402281</c:v>
                </c:pt>
                <c:pt idx="41">
                  <c:v>-0.72237658739438348</c:v>
                </c:pt>
                <c:pt idx="42">
                  <c:v>-1.1194120242596808</c:v>
                </c:pt>
                <c:pt idx="43">
                  <c:v>0.1649328775120511</c:v>
                </c:pt>
                <c:pt idx="44">
                  <c:v>9.5498821489896524E-2</c:v>
                </c:pt>
                <c:pt idx="45">
                  <c:v>0.14318674793597719</c:v>
                </c:pt>
                <c:pt idx="46">
                  <c:v>7.3870581954191161E-2</c:v>
                </c:pt>
                <c:pt idx="47">
                  <c:v>0.19743418183579342</c:v>
                </c:pt>
                <c:pt idx="48">
                  <c:v>-0.81343888295224354</c:v>
                </c:pt>
                <c:pt idx="49">
                  <c:v>1.0954988214898966</c:v>
                </c:pt>
                <c:pt idx="50">
                  <c:v>-0.10853895947164371</c:v>
                </c:pt>
                <c:pt idx="51">
                  <c:v>0.25599517306991115</c:v>
                </c:pt>
                <c:pt idx="52">
                  <c:v>-1.0283497287018208</c:v>
                </c:pt>
                <c:pt idx="53">
                  <c:v>-2.8349728701820842E-2</c:v>
                </c:pt>
                <c:pt idx="54">
                  <c:v>1.2776234126056165</c:v>
                </c:pt>
                <c:pt idx="55">
                  <c:v>0.40047385212303876</c:v>
                </c:pt>
                <c:pt idx="56">
                  <c:v>-0.9370024828338458</c:v>
                </c:pt>
                <c:pt idx="57">
                  <c:v>0.18656111704775646</c:v>
                </c:pt>
                <c:pt idx="58">
                  <c:v>-1.0651645903598645</c:v>
                </c:pt>
                <c:pt idx="59">
                  <c:v>-0.81343888295224354</c:v>
                </c:pt>
                <c:pt idx="60">
                  <c:v>1.0954988214898966</c:v>
                </c:pt>
                <c:pt idx="61">
                  <c:v>-0.81343888295224354</c:v>
                </c:pt>
                <c:pt idx="62">
                  <c:v>0.97165027129817916</c:v>
                </c:pt>
                <c:pt idx="63">
                  <c:v>-0.91537424329814043</c:v>
                </c:pt>
                <c:pt idx="64">
                  <c:v>0.82285803491075016</c:v>
                </c:pt>
                <c:pt idx="65">
                  <c:v>-0.82431194774028049</c:v>
                </c:pt>
                <c:pt idx="66">
                  <c:v>-0.69087339374493617</c:v>
                </c:pt>
                <c:pt idx="67">
                  <c:v>-0.9370024828338458</c:v>
                </c:pt>
                <c:pt idx="68">
                  <c:v>-0.97410229480200461</c:v>
                </c:pt>
                <c:pt idx="69">
                  <c:v>-6.5164590359864549E-2</c:v>
                </c:pt>
                <c:pt idx="70">
                  <c:v>-1.1085389594716437</c:v>
                </c:pt>
                <c:pt idx="71">
                  <c:v>-6.7214891661153686E-3</c:v>
                </c:pt>
                <c:pt idx="72">
                  <c:v>4.1515756219214772E-3</c:v>
                </c:pt>
                <c:pt idx="73">
                  <c:v>0.18656111704775646</c:v>
                </c:pt>
                <c:pt idx="74">
                  <c:v>-0.91537424329814043</c:v>
                </c:pt>
                <c:pt idx="75">
                  <c:v>0.15405981272401414</c:v>
                </c:pt>
                <c:pt idx="76">
                  <c:v>1.2776234126056165</c:v>
                </c:pt>
                <c:pt idx="77">
                  <c:v>1.0041515756219215</c:v>
                </c:pt>
                <c:pt idx="78">
                  <c:v>0.86971491095228237</c:v>
                </c:pt>
                <c:pt idx="79">
                  <c:v>-9.7783784723975309E-2</c:v>
                </c:pt>
                <c:pt idx="80">
                  <c:v>1.5024640409958545E-2</c:v>
                </c:pt>
                <c:pt idx="81">
                  <c:v>-8.5794719221275129E-2</c:v>
                </c:pt>
                <c:pt idx="82">
                  <c:v>-6.6035991257469284E-3</c:v>
                </c:pt>
                <c:pt idx="83">
                  <c:v>-0.88275504893402956</c:v>
                </c:pt>
                <c:pt idx="84">
                  <c:v>-0.13028508904771763</c:v>
                </c:pt>
                <c:pt idx="85">
                  <c:v>-0.81343888295224354</c:v>
                </c:pt>
                <c:pt idx="86">
                  <c:v>0.91308928006406154</c:v>
                </c:pt>
                <c:pt idx="87">
                  <c:v>0.36797254779929645</c:v>
                </c:pt>
                <c:pt idx="88">
                  <c:v>-0.7548778917181258</c:v>
                </c:pt>
                <c:pt idx="89">
                  <c:v>-2.8349728701820842E-2</c:v>
                </c:pt>
                <c:pt idx="90">
                  <c:v>0.88058797574031922</c:v>
                </c:pt>
                <c:pt idx="91">
                  <c:v>4.1515756219214772E-3</c:v>
                </c:pt>
                <c:pt idx="92">
                  <c:v>-0.72237658739438348</c:v>
                </c:pt>
                <c:pt idx="93">
                  <c:v>6.2997517166154204E-2</c:v>
                </c:pt>
                <c:pt idx="94">
                  <c:v>1.0629975171661541</c:v>
                </c:pt>
                <c:pt idx="95">
                  <c:v>1.1756880522597195</c:v>
                </c:pt>
                <c:pt idx="96">
                  <c:v>0.96077720651014231</c:v>
                </c:pt>
                <c:pt idx="97">
                  <c:v>-0.63231240251081844</c:v>
                </c:pt>
                <c:pt idx="98">
                  <c:v>0.14318674793597719</c:v>
                </c:pt>
                <c:pt idx="99">
                  <c:v>-0.11941202425968078</c:v>
                </c:pt>
                <c:pt idx="100">
                  <c:v>-1.0067214891661154</c:v>
                </c:pt>
                <c:pt idx="101">
                  <c:v>0.23424904349383724</c:v>
                </c:pt>
                <c:pt idx="102">
                  <c:v>1.154059812724014</c:v>
                </c:pt>
                <c:pt idx="103">
                  <c:v>1.0258977051979954</c:v>
                </c:pt>
                <c:pt idx="104">
                  <c:v>-0.99584842437807852</c:v>
                </c:pt>
                <c:pt idx="105">
                  <c:v>-0.11941202425968078</c:v>
                </c:pt>
                <c:pt idx="106">
                  <c:v>0.97165027129817916</c:v>
                </c:pt>
                <c:pt idx="107">
                  <c:v>0.9239623448520986</c:v>
                </c:pt>
                <c:pt idx="108">
                  <c:v>0.29825354146702687</c:v>
                </c:pt>
                <c:pt idx="109">
                  <c:v>1.1865611170477566</c:v>
                </c:pt>
                <c:pt idx="110">
                  <c:v>-1.0869107199359385</c:v>
                </c:pt>
                <c:pt idx="111">
                  <c:v>0.98252333608621623</c:v>
                </c:pt>
                <c:pt idx="112">
                  <c:v>-1.0869107199359385</c:v>
                </c:pt>
                <c:pt idx="113">
                  <c:v>0.89146104052835629</c:v>
                </c:pt>
                <c:pt idx="114">
                  <c:v>-0.11941202425968078</c:v>
                </c:pt>
                <c:pt idx="115">
                  <c:v>-0.97410229480200461</c:v>
                </c:pt>
                <c:pt idx="116">
                  <c:v>-1.0283497287018208</c:v>
                </c:pt>
                <c:pt idx="117">
                  <c:v>-0.80256581816420658</c:v>
                </c:pt>
                <c:pt idx="118">
                  <c:v>1.0738705819541912</c:v>
                </c:pt>
                <c:pt idx="119">
                  <c:v>-0.93728743314396068</c:v>
                </c:pt>
                <c:pt idx="120">
                  <c:v>6.2997517166154204E-2</c:v>
                </c:pt>
                <c:pt idx="121">
                  <c:v>-6.7214891661153686E-3</c:v>
                </c:pt>
                <c:pt idx="122">
                  <c:v>-0.80256581816420658</c:v>
                </c:pt>
                <c:pt idx="123">
                  <c:v>1.0041515756219215</c:v>
                </c:pt>
                <c:pt idx="124">
                  <c:v>-0.9370024828338458</c:v>
                </c:pt>
                <c:pt idx="125">
                  <c:v>1.2342490434938371</c:v>
                </c:pt>
                <c:pt idx="126">
                  <c:v>-0.9370024828338458</c:v>
                </c:pt>
                <c:pt idx="127">
                  <c:v>-0.11941202425968078</c:v>
                </c:pt>
                <c:pt idx="128">
                  <c:v>0.99339640087425307</c:v>
                </c:pt>
                <c:pt idx="129">
                  <c:v>0.20719124590916682</c:v>
                </c:pt>
                <c:pt idx="130">
                  <c:v>1.2667503478175797</c:v>
                </c:pt>
                <c:pt idx="131">
                  <c:v>1.154059812724014</c:v>
                </c:pt>
                <c:pt idx="132">
                  <c:v>0.14318674793597719</c:v>
                </c:pt>
                <c:pt idx="133">
                  <c:v>-1.0066035991257469</c:v>
                </c:pt>
                <c:pt idx="134">
                  <c:v>0.1649328775120511</c:v>
                </c:pt>
                <c:pt idx="135">
                  <c:v>-0.9370024828338458</c:v>
                </c:pt>
                <c:pt idx="136">
                  <c:v>-1.1194120242596808</c:v>
                </c:pt>
                <c:pt idx="137">
                  <c:v>0.88058797574031922</c:v>
                </c:pt>
                <c:pt idx="138">
                  <c:v>-0.92612941804580884</c:v>
                </c:pt>
                <c:pt idx="139">
                  <c:v>0.61898731421895614</c:v>
                </c:pt>
                <c:pt idx="140">
                  <c:v>0.82314298522086493</c:v>
                </c:pt>
                <c:pt idx="141">
                  <c:v>1.0952138711797816</c:v>
                </c:pt>
                <c:pt idx="142">
                  <c:v>-0.7548778917181258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60-427E-A868-65B91CAAD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17632"/>
        <c:axId val="418522432"/>
      </c:scatterChart>
      <c:valAx>
        <c:axId val="41851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522432"/>
        <c:crosses val="autoZero"/>
        <c:crossBetween val="midCat"/>
      </c:valAx>
      <c:valAx>
        <c:axId val="418522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5176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code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Codes!$B$2:$B$144</c:f>
              <c:numCache>
                <c:formatCode>General</c:formatCode>
                <c:ptCount val="1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</c:numCache>
            </c:numRef>
          </c:xVal>
          <c:yVal>
            <c:numRef>
              <c:f>Regression!$C$28:$C$170</c:f>
              <c:numCache>
                <c:formatCode>General</c:formatCode>
                <c:ptCount val="143"/>
                <c:pt idx="0">
                  <c:v>-0.94787554762188275</c:v>
                </c:pt>
                <c:pt idx="1">
                  <c:v>-1.1194120242596808</c:v>
                </c:pt>
                <c:pt idx="2">
                  <c:v>0.15405981272401414</c:v>
                </c:pt>
                <c:pt idx="3">
                  <c:v>-6.6035991257469284E-3</c:v>
                </c:pt>
                <c:pt idx="4">
                  <c:v>-1.0283497287018208</c:v>
                </c:pt>
                <c:pt idx="5">
                  <c:v>0.89146104052835629</c:v>
                </c:pt>
                <c:pt idx="6">
                  <c:v>-0.99584842437807852</c:v>
                </c:pt>
                <c:pt idx="7">
                  <c:v>0.91308928006406154</c:v>
                </c:pt>
                <c:pt idx="8">
                  <c:v>-0.90450117851010348</c:v>
                </c:pt>
                <c:pt idx="9">
                  <c:v>-0.82419405769991194</c:v>
                </c:pt>
                <c:pt idx="10">
                  <c:v>-0.93728743314396068</c:v>
                </c:pt>
                <c:pt idx="11">
                  <c:v>-8.6910719935938463E-2</c:v>
                </c:pt>
                <c:pt idx="12">
                  <c:v>0.2451221082818742</c:v>
                </c:pt>
                <c:pt idx="13">
                  <c:v>-1.0174766639137838</c:v>
                </c:pt>
                <c:pt idx="14">
                  <c:v>0.97165027129817916</c:v>
                </c:pt>
                <c:pt idx="15">
                  <c:v>0.88058797574031922</c:v>
                </c:pt>
                <c:pt idx="16">
                  <c:v>-0.72237658739438348</c:v>
                </c:pt>
                <c:pt idx="17">
                  <c:v>1.0629975171661541</c:v>
                </c:pt>
                <c:pt idx="18">
                  <c:v>1.0954988214898966</c:v>
                </c:pt>
                <c:pt idx="19">
                  <c:v>0.90221621527602469</c:v>
                </c:pt>
                <c:pt idx="20">
                  <c:v>-0.10853895947164371</c:v>
                </c:pt>
                <c:pt idx="21">
                  <c:v>-0.9370024828338458</c:v>
                </c:pt>
                <c:pt idx="22">
                  <c:v>1.0629975171661541</c:v>
                </c:pt>
                <c:pt idx="23">
                  <c:v>1.3788456125873334</c:v>
                </c:pt>
                <c:pt idx="24">
                  <c:v>0.15405981272401414</c:v>
                </c:pt>
                <c:pt idx="25">
                  <c:v>-2.8349728701820842E-2</c:v>
                </c:pt>
                <c:pt idx="26">
                  <c:v>0.97165027129817916</c:v>
                </c:pt>
                <c:pt idx="27">
                  <c:v>0.89146104052835629</c:v>
                </c:pt>
                <c:pt idx="28">
                  <c:v>9.5213871179781639E-2</c:v>
                </c:pt>
                <c:pt idx="29">
                  <c:v>-0.15091521790912821</c:v>
                </c:pt>
                <c:pt idx="30">
                  <c:v>0.10637188627793348</c:v>
                </c:pt>
                <c:pt idx="31">
                  <c:v>1.2180643106972038</c:v>
                </c:pt>
                <c:pt idx="32">
                  <c:v>-0.51933691710713825</c:v>
                </c:pt>
                <c:pt idx="33">
                  <c:v>-1.0283497287018208</c:v>
                </c:pt>
                <c:pt idx="34">
                  <c:v>0.15405981272401414</c:v>
                </c:pt>
                <c:pt idx="35">
                  <c:v>-0.90450117851010348</c:v>
                </c:pt>
                <c:pt idx="36">
                  <c:v>4.1515756219214772E-3</c:v>
                </c:pt>
                <c:pt idx="37">
                  <c:v>1.2884964773936534</c:v>
                </c:pt>
                <c:pt idx="38">
                  <c:v>-0.90478612882021836</c:v>
                </c:pt>
                <c:pt idx="39">
                  <c:v>-0.80256581816420658</c:v>
                </c:pt>
                <c:pt idx="40">
                  <c:v>-0.85681325206402281</c:v>
                </c:pt>
                <c:pt idx="41">
                  <c:v>-0.72237658739438348</c:v>
                </c:pt>
                <c:pt idx="42">
                  <c:v>-1.1194120242596808</c:v>
                </c:pt>
                <c:pt idx="43">
                  <c:v>0.1649328775120511</c:v>
                </c:pt>
                <c:pt idx="44">
                  <c:v>9.5498821489896524E-2</c:v>
                </c:pt>
                <c:pt idx="45">
                  <c:v>0.14318674793597719</c:v>
                </c:pt>
                <c:pt idx="46">
                  <c:v>7.3870581954191161E-2</c:v>
                </c:pt>
                <c:pt idx="47">
                  <c:v>0.19743418183579342</c:v>
                </c:pt>
                <c:pt idx="48">
                  <c:v>-0.81343888295224354</c:v>
                </c:pt>
                <c:pt idx="49">
                  <c:v>1.0954988214898966</c:v>
                </c:pt>
                <c:pt idx="50">
                  <c:v>-0.10853895947164371</c:v>
                </c:pt>
                <c:pt idx="51">
                  <c:v>0.25599517306991115</c:v>
                </c:pt>
                <c:pt idx="52">
                  <c:v>-1.0283497287018208</c:v>
                </c:pt>
                <c:pt idx="53">
                  <c:v>-2.8349728701820842E-2</c:v>
                </c:pt>
                <c:pt idx="54">
                  <c:v>1.2776234126056165</c:v>
                </c:pt>
                <c:pt idx="55">
                  <c:v>0.40047385212303876</c:v>
                </c:pt>
                <c:pt idx="56">
                  <c:v>-0.9370024828338458</c:v>
                </c:pt>
                <c:pt idx="57">
                  <c:v>0.18656111704775646</c:v>
                </c:pt>
                <c:pt idx="58">
                  <c:v>-1.0651645903598645</c:v>
                </c:pt>
                <c:pt idx="59">
                  <c:v>-0.81343888295224354</c:v>
                </c:pt>
                <c:pt idx="60">
                  <c:v>1.0954988214898966</c:v>
                </c:pt>
                <c:pt idx="61">
                  <c:v>-0.81343888295224354</c:v>
                </c:pt>
                <c:pt idx="62">
                  <c:v>0.97165027129817916</c:v>
                </c:pt>
                <c:pt idx="63">
                  <c:v>-0.91537424329814043</c:v>
                </c:pt>
                <c:pt idx="64">
                  <c:v>0.82285803491075016</c:v>
                </c:pt>
                <c:pt idx="65">
                  <c:v>-0.82431194774028049</c:v>
                </c:pt>
                <c:pt idx="66">
                  <c:v>-0.69087339374493617</c:v>
                </c:pt>
                <c:pt idx="67">
                  <c:v>-0.9370024828338458</c:v>
                </c:pt>
                <c:pt idx="68">
                  <c:v>-0.97410229480200461</c:v>
                </c:pt>
                <c:pt idx="69">
                  <c:v>-6.5164590359864549E-2</c:v>
                </c:pt>
                <c:pt idx="70">
                  <c:v>-1.1085389594716437</c:v>
                </c:pt>
                <c:pt idx="71">
                  <c:v>-6.7214891661153686E-3</c:v>
                </c:pt>
                <c:pt idx="72">
                  <c:v>4.1515756219214772E-3</c:v>
                </c:pt>
                <c:pt idx="73">
                  <c:v>0.18656111704775646</c:v>
                </c:pt>
                <c:pt idx="74">
                  <c:v>-0.91537424329814043</c:v>
                </c:pt>
                <c:pt idx="75">
                  <c:v>0.15405981272401414</c:v>
                </c:pt>
                <c:pt idx="76">
                  <c:v>1.2776234126056165</c:v>
                </c:pt>
                <c:pt idx="77">
                  <c:v>1.0041515756219215</c:v>
                </c:pt>
                <c:pt idx="78">
                  <c:v>0.86971491095228237</c:v>
                </c:pt>
                <c:pt idx="79">
                  <c:v>-9.7783784723975309E-2</c:v>
                </c:pt>
                <c:pt idx="80">
                  <c:v>1.5024640409958545E-2</c:v>
                </c:pt>
                <c:pt idx="81">
                  <c:v>-8.5794719221275129E-2</c:v>
                </c:pt>
                <c:pt idx="82">
                  <c:v>-6.6035991257469284E-3</c:v>
                </c:pt>
                <c:pt idx="83">
                  <c:v>-0.88275504893402956</c:v>
                </c:pt>
                <c:pt idx="84">
                  <c:v>-0.13028508904771763</c:v>
                </c:pt>
                <c:pt idx="85">
                  <c:v>-0.81343888295224354</c:v>
                </c:pt>
                <c:pt idx="86">
                  <c:v>0.91308928006406154</c:v>
                </c:pt>
                <c:pt idx="87">
                  <c:v>0.36797254779929645</c:v>
                </c:pt>
                <c:pt idx="88">
                  <c:v>-0.7548778917181258</c:v>
                </c:pt>
                <c:pt idx="89">
                  <c:v>-2.8349728701820842E-2</c:v>
                </c:pt>
                <c:pt idx="90">
                  <c:v>0.88058797574031922</c:v>
                </c:pt>
                <c:pt idx="91">
                  <c:v>4.1515756219214772E-3</c:v>
                </c:pt>
                <c:pt idx="92">
                  <c:v>-0.72237658739438348</c:v>
                </c:pt>
                <c:pt idx="93">
                  <c:v>6.2997517166154204E-2</c:v>
                </c:pt>
                <c:pt idx="94">
                  <c:v>1.0629975171661541</c:v>
                </c:pt>
                <c:pt idx="95">
                  <c:v>1.1756880522597195</c:v>
                </c:pt>
                <c:pt idx="96">
                  <c:v>0.96077720651014231</c:v>
                </c:pt>
                <c:pt idx="97">
                  <c:v>-0.63231240251081844</c:v>
                </c:pt>
                <c:pt idx="98">
                  <c:v>0.14318674793597719</c:v>
                </c:pt>
                <c:pt idx="99">
                  <c:v>-0.11941202425968078</c:v>
                </c:pt>
                <c:pt idx="100">
                  <c:v>-1.0067214891661154</c:v>
                </c:pt>
                <c:pt idx="101">
                  <c:v>0.23424904349383724</c:v>
                </c:pt>
                <c:pt idx="102">
                  <c:v>1.154059812724014</c:v>
                </c:pt>
                <c:pt idx="103">
                  <c:v>1.0258977051979954</c:v>
                </c:pt>
                <c:pt idx="104">
                  <c:v>-0.99584842437807852</c:v>
                </c:pt>
                <c:pt idx="105">
                  <c:v>-0.11941202425968078</c:v>
                </c:pt>
                <c:pt idx="106">
                  <c:v>0.97165027129817916</c:v>
                </c:pt>
                <c:pt idx="107">
                  <c:v>0.9239623448520986</c:v>
                </c:pt>
                <c:pt idx="108">
                  <c:v>0.29825354146702687</c:v>
                </c:pt>
                <c:pt idx="109">
                  <c:v>1.1865611170477566</c:v>
                </c:pt>
                <c:pt idx="110">
                  <c:v>-1.0869107199359385</c:v>
                </c:pt>
                <c:pt idx="111">
                  <c:v>0.98252333608621623</c:v>
                </c:pt>
                <c:pt idx="112">
                  <c:v>-1.0869107199359385</c:v>
                </c:pt>
                <c:pt idx="113">
                  <c:v>0.89146104052835629</c:v>
                </c:pt>
                <c:pt idx="114">
                  <c:v>-0.11941202425968078</c:v>
                </c:pt>
                <c:pt idx="115">
                  <c:v>-0.97410229480200461</c:v>
                </c:pt>
                <c:pt idx="116">
                  <c:v>-1.0283497287018208</c:v>
                </c:pt>
                <c:pt idx="117">
                  <c:v>-0.80256581816420658</c:v>
                </c:pt>
                <c:pt idx="118">
                  <c:v>1.0738705819541912</c:v>
                </c:pt>
                <c:pt idx="119">
                  <c:v>-0.93728743314396068</c:v>
                </c:pt>
                <c:pt idx="120">
                  <c:v>6.2997517166154204E-2</c:v>
                </c:pt>
                <c:pt idx="121">
                  <c:v>-6.7214891661153686E-3</c:v>
                </c:pt>
                <c:pt idx="122">
                  <c:v>-0.80256581816420658</c:v>
                </c:pt>
                <c:pt idx="123">
                  <c:v>1.0041515756219215</c:v>
                </c:pt>
                <c:pt idx="124">
                  <c:v>-0.9370024828338458</c:v>
                </c:pt>
                <c:pt idx="125">
                  <c:v>1.2342490434938371</c:v>
                </c:pt>
                <c:pt idx="126">
                  <c:v>-0.9370024828338458</c:v>
                </c:pt>
                <c:pt idx="127">
                  <c:v>-0.11941202425968078</c:v>
                </c:pt>
                <c:pt idx="128">
                  <c:v>0.99339640087425307</c:v>
                </c:pt>
                <c:pt idx="129">
                  <c:v>0.20719124590916682</c:v>
                </c:pt>
                <c:pt idx="130">
                  <c:v>1.2667503478175797</c:v>
                </c:pt>
                <c:pt idx="131">
                  <c:v>1.154059812724014</c:v>
                </c:pt>
                <c:pt idx="132">
                  <c:v>0.14318674793597719</c:v>
                </c:pt>
                <c:pt idx="133">
                  <c:v>-1.0066035991257469</c:v>
                </c:pt>
                <c:pt idx="134">
                  <c:v>0.1649328775120511</c:v>
                </c:pt>
                <c:pt idx="135">
                  <c:v>-0.9370024828338458</c:v>
                </c:pt>
                <c:pt idx="136">
                  <c:v>-1.1194120242596808</c:v>
                </c:pt>
                <c:pt idx="137">
                  <c:v>0.88058797574031922</c:v>
                </c:pt>
                <c:pt idx="138">
                  <c:v>-0.92612941804580884</c:v>
                </c:pt>
                <c:pt idx="139">
                  <c:v>0.61898731421895614</c:v>
                </c:pt>
                <c:pt idx="140">
                  <c:v>0.82314298522086493</c:v>
                </c:pt>
                <c:pt idx="141">
                  <c:v>1.0952138711797816</c:v>
                </c:pt>
                <c:pt idx="142">
                  <c:v>-0.7548778917181258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07-4A82-BB6C-8C0BBB58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18112"/>
        <c:axId val="418520512"/>
      </c:scatterChart>
      <c:valAx>
        <c:axId val="41851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 code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520512"/>
        <c:crosses val="autoZero"/>
        <c:crossBetween val="midCat"/>
      </c:valAx>
      <c:valAx>
        <c:axId val="418520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5181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Household Size 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Codes!$C$2:$C$144</c:f>
              <c:numCache>
                <c:formatCode>General</c:formatCode>
                <c:ptCount val="14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3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3</c:v>
                </c:pt>
              </c:numCache>
            </c:numRef>
          </c:xVal>
          <c:yVal>
            <c:numRef>
              <c:f>Regression!$C$28:$C$170</c:f>
              <c:numCache>
                <c:formatCode>General</c:formatCode>
                <c:ptCount val="143"/>
                <c:pt idx="0">
                  <c:v>-0.94787554762188275</c:v>
                </c:pt>
                <c:pt idx="1">
                  <c:v>-1.1194120242596808</c:v>
                </c:pt>
                <c:pt idx="2">
                  <c:v>0.15405981272401414</c:v>
                </c:pt>
                <c:pt idx="3">
                  <c:v>-6.6035991257469284E-3</c:v>
                </c:pt>
                <c:pt idx="4">
                  <c:v>-1.0283497287018208</c:v>
                </c:pt>
                <c:pt idx="5">
                  <c:v>0.89146104052835629</c:v>
                </c:pt>
                <c:pt idx="6">
                  <c:v>-0.99584842437807852</c:v>
                </c:pt>
                <c:pt idx="7">
                  <c:v>0.91308928006406154</c:v>
                </c:pt>
                <c:pt idx="8">
                  <c:v>-0.90450117851010348</c:v>
                </c:pt>
                <c:pt idx="9">
                  <c:v>-0.82419405769991194</c:v>
                </c:pt>
                <c:pt idx="10">
                  <c:v>-0.93728743314396068</c:v>
                </c:pt>
                <c:pt idx="11">
                  <c:v>-8.6910719935938463E-2</c:v>
                </c:pt>
                <c:pt idx="12">
                  <c:v>0.2451221082818742</c:v>
                </c:pt>
                <c:pt idx="13">
                  <c:v>-1.0174766639137838</c:v>
                </c:pt>
                <c:pt idx="14">
                  <c:v>0.97165027129817916</c:v>
                </c:pt>
                <c:pt idx="15">
                  <c:v>0.88058797574031922</c:v>
                </c:pt>
                <c:pt idx="16">
                  <c:v>-0.72237658739438348</c:v>
                </c:pt>
                <c:pt idx="17">
                  <c:v>1.0629975171661541</c:v>
                </c:pt>
                <c:pt idx="18">
                  <c:v>1.0954988214898966</c:v>
                </c:pt>
                <c:pt idx="19">
                  <c:v>0.90221621527602469</c:v>
                </c:pt>
                <c:pt idx="20">
                  <c:v>-0.10853895947164371</c:v>
                </c:pt>
                <c:pt idx="21">
                  <c:v>-0.9370024828338458</c:v>
                </c:pt>
                <c:pt idx="22">
                  <c:v>1.0629975171661541</c:v>
                </c:pt>
                <c:pt idx="23">
                  <c:v>1.3788456125873334</c:v>
                </c:pt>
                <c:pt idx="24">
                  <c:v>0.15405981272401414</c:v>
                </c:pt>
                <c:pt idx="25">
                  <c:v>-2.8349728701820842E-2</c:v>
                </c:pt>
                <c:pt idx="26">
                  <c:v>0.97165027129817916</c:v>
                </c:pt>
                <c:pt idx="27">
                  <c:v>0.89146104052835629</c:v>
                </c:pt>
                <c:pt idx="28">
                  <c:v>9.5213871179781639E-2</c:v>
                </c:pt>
                <c:pt idx="29">
                  <c:v>-0.15091521790912821</c:v>
                </c:pt>
                <c:pt idx="30">
                  <c:v>0.10637188627793348</c:v>
                </c:pt>
                <c:pt idx="31">
                  <c:v>1.2180643106972038</c:v>
                </c:pt>
                <c:pt idx="32">
                  <c:v>-0.51933691710713825</c:v>
                </c:pt>
                <c:pt idx="33">
                  <c:v>-1.0283497287018208</c:v>
                </c:pt>
                <c:pt idx="34">
                  <c:v>0.15405981272401414</c:v>
                </c:pt>
                <c:pt idx="35">
                  <c:v>-0.90450117851010348</c:v>
                </c:pt>
                <c:pt idx="36">
                  <c:v>4.1515756219214772E-3</c:v>
                </c:pt>
                <c:pt idx="37">
                  <c:v>1.2884964773936534</c:v>
                </c:pt>
                <c:pt idx="38">
                  <c:v>-0.90478612882021836</c:v>
                </c:pt>
                <c:pt idx="39">
                  <c:v>-0.80256581816420658</c:v>
                </c:pt>
                <c:pt idx="40">
                  <c:v>-0.85681325206402281</c:v>
                </c:pt>
                <c:pt idx="41">
                  <c:v>-0.72237658739438348</c:v>
                </c:pt>
                <c:pt idx="42">
                  <c:v>-1.1194120242596808</c:v>
                </c:pt>
                <c:pt idx="43">
                  <c:v>0.1649328775120511</c:v>
                </c:pt>
                <c:pt idx="44">
                  <c:v>9.5498821489896524E-2</c:v>
                </c:pt>
                <c:pt idx="45">
                  <c:v>0.14318674793597719</c:v>
                </c:pt>
                <c:pt idx="46">
                  <c:v>7.3870581954191161E-2</c:v>
                </c:pt>
                <c:pt idx="47">
                  <c:v>0.19743418183579342</c:v>
                </c:pt>
                <c:pt idx="48">
                  <c:v>-0.81343888295224354</c:v>
                </c:pt>
                <c:pt idx="49">
                  <c:v>1.0954988214898966</c:v>
                </c:pt>
                <c:pt idx="50">
                  <c:v>-0.10853895947164371</c:v>
                </c:pt>
                <c:pt idx="51">
                  <c:v>0.25599517306991115</c:v>
                </c:pt>
                <c:pt idx="52">
                  <c:v>-1.0283497287018208</c:v>
                </c:pt>
                <c:pt idx="53">
                  <c:v>-2.8349728701820842E-2</c:v>
                </c:pt>
                <c:pt idx="54">
                  <c:v>1.2776234126056165</c:v>
                </c:pt>
                <c:pt idx="55">
                  <c:v>0.40047385212303876</c:v>
                </c:pt>
                <c:pt idx="56">
                  <c:v>-0.9370024828338458</c:v>
                </c:pt>
                <c:pt idx="57">
                  <c:v>0.18656111704775646</c:v>
                </c:pt>
                <c:pt idx="58">
                  <c:v>-1.0651645903598645</c:v>
                </c:pt>
                <c:pt idx="59">
                  <c:v>-0.81343888295224354</c:v>
                </c:pt>
                <c:pt idx="60">
                  <c:v>1.0954988214898966</c:v>
                </c:pt>
                <c:pt idx="61">
                  <c:v>-0.81343888295224354</c:v>
                </c:pt>
                <c:pt idx="62">
                  <c:v>0.97165027129817916</c:v>
                </c:pt>
                <c:pt idx="63">
                  <c:v>-0.91537424329814043</c:v>
                </c:pt>
                <c:pt idx="64">
                  <c:v>0.82285803491075016</c:v>
                </c:pt>
                <c:pt idx="65">
                  <c:v>-0.82431194774028049</c:v>
                </c:pt>
                <c:pt idx="66">
                  <c:v>-0.69087339374493617</c:v>
                </c:pt>
                <c:pt idx="67">
                  <c:v>-0.9370024828338458</c:v>
                </c:pt>
                <c:pt idx="68">
                  <c:v>-0.97410229480200461</c:v>
                </c:pt>
                <c:pt idx="69">
                  <c:v>-6.5164590359864549E-2</c:v>
                </c:pt>
                <c:pt idx="70">
                  <c:v>-1.1085389594716437</c:v>
                </c:pt>
                <c:pt idx="71">
                  <c:v>-6.7214891661153686E-3</c:v>
                </c:pt>
                <c:pt idx="72">
                  <c:v>4.1515756219214772E-3</c:v>
                </c:pt>
                <c:pt idx="73">
                  <c:v>0.18656111704775646</c:v>
                </c:pt>
                <c:pt idx="74">
                  <c:v>-0.91537424329814043</c:v>
                </c:pt>
                <c:pt idx="75">
                  <c:v>0.15405981272401414</c:v>
                </c:pt>
                <c:pt idx="76">
                  <c:v>1.2776234126056165</c:v>
                </c:pt>
                <c:pt idx="77">
                  <c:v>1.0041515756219215</c:v>
                </c:pt>
                <c:pt idx="78">
                  <c:v>0.86971491095228237</c:v>
                </c:pt>
                <c:pt idx="79">
                  <c:v>-9.7783784723975309E-2</c:v>
                </c:pt>
                <c:pt idx="80">
                  <c:v>1.5024640409958545E-2</c:v>
                </c:pt>
                <c:pt idx="81">
                  <c:v>-8.5794719221275129E-2</c:v>
                </c:pt>
                <c:pt idx="82">
                  <c:v>-6.6035991257469284E-3</c:v>
                </c:pt>
                <c:pt idx="83">
                  <c:v>-0.88275504893402956</c:v>
                </c:pt>
                <c:pt idx="84">
                  <c:v>-0.13028508904771763</c:v>
                </c:pt>
                <c:pt idx="85">
                  <c:v>-0.81343888295224354</c:v>
                </c:pt>
                <c:pt idx="86">
                  <c:v>0.91308928006406154</c:v>
                </c:pt>
                <c:pt idx="87">
                  <c:v>0.36797254779929645</c:v>
                </c:pt>
                <c:pt idx="88">
                  <c:v>-0.7548778917181258</c:v>
                </c:pt>
                <c:pt idx="89">
                  <c:v>-2.8349728701820842E-2</c:v>
                </c:pt>
                <c:pt idx="90">
                  <c:v>0.88058797574031922</c:v>
                </c:pt>
                <c:pt idx="91">
                  <c:v>4.1515756219214772E-3</c:v>
                </c:pt>
                <c:pt idx="92">
                  <c:v>-0.72237658739438348</c:v>
                </c:pt>
                <c:pt idx="93">
                  <c:v>6.2997517166154204E-2</c:v>
                </c:pt>
                <c:pt idx="94">
                  <c:v>1.0629975171661541</c:v>
                </c:pt>
                <c:pt idx="95">
                  <c:v>1.1756880522597195</c:v>
                </c:pt>
                <c:pt idx="96">
                  <c:v>0.96077720651014231</c:v>
                </c:pt>
                <c:pt idx="97">
                  <c:v>-0.63231240251081844</c:v>
                </c:pt>
                <c:pt idx="98">
                  <c:v>0.14318674793597719</c:v>
                </c:pt>
                <c:pt idx="99">
                  <c:v>-0.11941202425968078</c:v>
                </c:pt>
                <c:pt idx="100">
                  <c:v>-1.0067214891661154</c:v>
                </c:pt>
                <c:pt idx="101">
                  <c:v>0.23424904349383724</c:v>
                </c:pt>
                <c:pt idx="102">
                  <c:v>1.154059812724014</c:v>
                </c:pt>
                <c:pt idx="103">
                  <c:v>1.0258977051979954</c:v>
                </c:pt>
                <c:pt idx="104">
                  <c:v>-0.99584842437807852</c:v>
                </c:pt>
                <c:pt idx="105">
                  <c:v>-0.11941202425968078</c:v>
                </c:pt>
                <c:pt idx="106">
                  <c:v>0.97165027129817916</c:v>
                </c:pt>
                <c:pt idx="107">
                  <c:v>0.9239623448520986</c:v>
                </c:pt>
                <c:pt idx="108">
                  <c:v>0.29825354146702687</c:v>
                </c:pt>
                <c:pt idx="109">
                  <c:v>1.1865611170477566</c:v>
                </c:pt>
                <c:pt idx="110">
                  <c:v>-1.0869107199359385</c:v>
                </c:pt>
                <c:pt idx="111">
                  <c:v>0.98252333608621623</c:v>
                </c:pt>
                <c:pt idx="112">
                  <c:v>-1.0869107199359385</c:v>
                </c:pt>
                <c:pt idx="113">
                  <c:v>0.89146104052835629</c:v>
                </c:pt>
                <c:pt idx="114">
                  <c:v>-0.11941202425968078</c:v>
                </c:pt>
                <c:pt idx="115">
                  <c:v>-0.97410229480200461</c:v>
                </c:pt>
                <c:pt idx="116">
                  <c:v>-1.0283497287018208</c:v>
                </c:pt>
                <c:pt idx="117">
                  <c:v>-0.80256581816420658</c:v>
                </c:pt>
                <c:pt idx="118">
                  <c:v>1.0738705819541912</c:v>
                </c:pt>
                <c:pt idx="119">
                  <c:v>-0.93728743314396068</c:v>
                </c:pt>
                <c:pt idx="120">
                  <c:v>6.2997517166154204E-2</c:v>
                </c:pt>
                <c:pt idx="121">
                  <c:v>-6.7214891661153686E-3</c:v>
                </c:pt>
                <c:pt idx="122">
                  <c:v>-0.80256581816420658</c:v>
                </c:pt>
                <c:pt idx="123">
                  <c:v>1.0041515756219215</c:v>
                </c:pt>
                <c:pt idx="124">
                  <c:v>-0.9370024828338458</c:v>
                </c:pt>
                <c:pt idx="125">
                  <c:v>1.2342490434938371</c:v>
                </c:pt>
                <c:pt idx="126">
                  <c:v>-0.9370024828338458</c:v>
                </c:pt>
                <c:pt idx="127">
                  <c:v>-0.11941202425968078</c:v>
                </c:pt>
                <c:pt idx="128">
                  <c:v>0.99339640087425307</c:v>
                </c:pt>
                <c:pt idx="129">
                  <c:v>0.20719124590916682</c:v>
                </c:pt>
                <c:pt idx="130">
                  <c:v>1.2667503478175797</c:v>
                </c:pt>
                <c:pt idx="131">
                  <c:v>1.154059812724014</c:v>
                </c:pt>
                <c:pt idx="132">
                  <c:v>0.14318674793597719</c:v>
                </c:pt>
                <c:pt idx="133">
                  <c:v>-1.0066035991257469</c:v>
                </c:pt>
                <c:pt idx="134">
                  <c:v>0.1649328775120511</c:v>
                </c:pt>
                <c:pt idx="135">
                  <c:v>-0.9370024828338458</c:v>
                </c:pt>
                <c:pt idx="136">
                  <c:v>-1.1194120242596808</c:v>
                </c:pt>
                <c:pt idx="137">
                  <c:v>0.88058797574031922</c:v>
                </c:pt>
                <c:pt idx="138">
                  <c:v>-0.92612941804580884</c:v>
                </c:pt>
                <c:pt idx="139">
                  <c:v>0.61898731421895614</c:v>
                </c:pt>
                <c:pt idx="140">
                  <c:v>0.82314298522086493</c:v>
                </c:pt>
                <c:pt idx="141">
                  <c:v>1.0952138711797816</c:v>
                </c:pt>
                <c:pt idx="142">
                  <c:v>-0.7548778917181258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07-434C-BEE7-B20263628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524832"/>
        <c:axId val="418527232"/>
      </c:scatterChart>
      <c:valAx>
        <c:axId val="41852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Household Size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527232"/>
        <c:crosses val="autoZero"/>
        <c:crossBetween val="midCat"/>
      </c:valAx>
      <c:valAx>
        <c:axId val="418527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524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Waste_Code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Codes!$D$2:$D$144</c:f>
              <c:numCache>
                <c:formatCode>General</c:formatCode>
                <c:ptCount val="143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4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3</c:v>
                </c:pt>
                <c:pt idx="112">
                  <c:v>2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4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4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4</c:v>
                </c:pt>
                <c:pt idx="141">
                  <c:v>2</c:v>
                </c:pt>
                <c:pt idx="142">
                  <c:v>2</c:v>
                </c:pt>
              </c:numCache>
            </c:numRef>
          </c:xVal>
          <c:yVal>
            <c:numRef>
              <c:f>Regression!$C$28:$C$170</c:f>
              <c:numCache>
                <c:formatCode>General</c:formatCode>
                <c:ptCount val="143"/>
                <c:pt idx="0">
                  <c:v>-0.94787554762188275</c:v>
                </c:pt>
                <c:pt idx="1">
                  <c:v>-1.1194120242596808</c:v>
                </c:pt>
                <c:pt idx="2">
                  <c:v>0.15405981272401414</c:v>
                </c:pt>
                <c:pt idx="3">
                  <c:v>-6.6035991257469284E-3</c:v>
                </c:pt>
                <c:pt idx="4">
                  <c:v>-1.0283497287018208</c:v>
                </c:pt>
                <c:pt idx="5">
                  <c:v>0.89146104052835629</c:v>
                </c:pt>
                <c:pt idx="6">
                  <c:v>-0.99584842437807852</c:v>
                </c:pt>
                <c:pt idx="7">
                  <c:v>0.91308928006406154</c:v>
                </c:pt>
                <c:pt idx="8">
                  <c:v>-0.90450117851010348</c:v>
                </c:pt>
                <c:pt idx="9">
                  <c:v>-0.82419405769991194</c:v>
                </c:pt>
                <c:pt idx="10">
                  <c:v>-0.93728743314396068</c:v>
                </c:pt>
                <c:pt idx="11">
                  <c:v>-8.6910719935938463E-2</c:v>
                </c:pt>
                <c:pt idx="12">
                  <c:v>0.2451221082818742</c:v>
                </c:pt>
                <c:pt idx="13">
                  <c:v>-1.0174766639137838</c:v>
                </c:pt>
                <c:pt idx="14">
                  <c:v>0.97165027129817916</c:v>
                </c:pt>
                <c:pt idx="15">
                  <c:v>0.88058797574031922</c:v>
                </c:pt>
                <c:pt idx="16">
                  <c:v>-0.72237658739438348</c:v>
                </c:pt>
                <c:pt idx="17">
                  <c:v>1.0629975171661541</c:v>
                </c:pt>
                <c:pt idx="18">
                  <c:v>1.0954988214898966</c:v>
                </c:pt>
                <c:pt idx="19">
                  <c:v>0.90221621527602469</c:v>
                </c:pt>
                <c:pt idx="20">
                  <c:v>-0.10853895947164371</c:v>
                </c:pt>
                <c:pt idx="21">
                  <c:v>-0.9370024828338458</c:v>
                </c:pt>
                <c:pt idx="22">
                  <c:v>1.0629975171661541</c:v>
                </c:pt>
                <c:pt idx="23">
                  <c:v>1.3788456125873334</c:v>
                </c:pt>
                <c:pt idx="24">
                  <c:v>0.15405981272401414</c:v>
                </c:pt>
                <c:pt idx="25">
                  <c:v>-2.8349728701820842E-2</c:v>
                </c:pt>
                <c:pt idx="26">
                  <c:v>0.97165027129817916</c:v>
                </c:pt>
                <c:pt idx="27">
                  <c:v>0.89146104052835629</c:v>
                </c:pt>
                <c:pt idx="28">
                  <c:v>9.5213871179781639E-2</c:v>
                </c:pt>
                <c:pt idx="29">
                  <c:v>-0.15091521790912821</c:v>
                </c:pt>
                <c:pt idx="30">
                  <c:v>0.10637188627793348</c:v>
                </c:pt>
                <c:pt idx="31">
                  <c:v>1.2180643106972038</c:v>
                </c:pt>
                <c:pt idx="32">
                  <c:v>-0.51933691710713825</c:v>
                </c:pt>
                <c:pt idx="33">
                  <c:v>-1.0283497287018208</c:v>
                </c:pt>
                <c:pt idx="34">
                  <c:v>0.15405981272401414</c:v>
                </c:pt>
                <c:pt idx="35">
                  <c:v>-0.90450117851010348</c:v>
                </c:pt>
                <c:pt idx="36">
                  <c:v>4.1515756219214772E-3</c:v>
                </c:pt>
                <c:pt idx="37">
                  <c:v>1.2884964773936534</c:v>
                </c:pt>
                <c:pt idx="38">
                  <c:v>-0.90478612882021836</c:v>
                </c:pt>
                <c:pt idx="39">
                  <c:v>-0.80256581816420658</c:v>
                </c:pt>
                <c:pt idx="40">
                  <c:v>-0.85681325206402281</c:v>
                </c:pt>
                <c:pt idx="41">
                  <c:v>-0.72237658739438348</c:v>
                </c:pt>
                <c:pt idx="42">
                  <c:v>-1.1194120242596808</c:v>
                </c:pt>
                <c:pt idx="43">
                  <c:v>0.1649328775120511</c:v>
                </c:pt>
                <c:pt idx="44">
                  <c:v>9.5498821489896524E-2</c:v>
                </c:pt>
                <c:pt idx="45">
                  <c:v>0.14318674793597719</c:v>
                </c:pt>
                <c:pt idx="46">
                  <c:v>7.3870581954191161E-2</c:v>
                </c:pt>
                <c:pt idx="47">
                  <c:v>0.19743418183579342</c:v>
                </c:pt>
                <c:pt idx="48">
                  <c:v>-0.81343888295224354</c:v>
                </c:pt>
                <c:pt idx="49">
                  <c:v>1.0954988214898966</c:v>
                </c:pt>
                <c:pt idx="50">
                  <c:v>-0.10853895947164371</c:v>
                </c:pt>
                <c:pt idx="51">
                  <c:v>0.25599517306991115</c:v>
                </c:pt>
                <c:pt idx="52">
                  <c:v>-1.0283497287018208</c:v>
                </c:pt>
                <c:pt idx="53">
                  <c:v>-2.8349728701820842E-2</c:v>
                </c:pt>
                <c:pt idx="54">
                  <c:v>1.2776234126056165</c:v>
                </c:pt>
                <c:pt idx="55">
                  <c:v>0.40047385212303876</c:v>
                </c:pt>
                <c:pt idx="56">
                  <c:v>-0.9370024828338458</c:v>
                </c:pt>
                <c:pt idx="57">
                  <c:v>0.18656111704775646</c:v>
                </c:pt>
                <c:pt idx="58">
                  <c:v>-1.0651645903598645</c:v>
                </c:pt>
                <c:pt idx="59">
                  <c:v>-0.81343888295224354</c:v>
                </c:pt>
                <c:pt idx="60">
                  <c:v>1.0954988214898966</c:v>
                </c:pt>
                <c:pt idx="61">
                  <c:v>-0.81343888295224354</c:v>
                </c:pt>
                <c:pt idx="62">
                  <c:v>0.97165027129817916</c:v>
                </c:pt>
                <c:pt idx="63">
                  <c:v>-0.91537424329814043</c:v>
                </c:pt>
                <c:pt idx="64">
                  <c:v>0.82285803491075016</c:v>
                </c:pt>
                <c:pt idx="65">
                  <c:v>-0.82431194774028049</c:v>
                </c:pt>
                <c:pt idx="66">
                  <c:v>-0.69087339374493617</c:v>
                </c:pt>
                <c:pt idx="67">
                  <c:v>-0.9370024828338458</c:v>
                </c:pt>
                <c:pt idx="68">
                  <c:v>-0.97410229480200461</c:v>
                </c:pt>
                <c:pt idx="69">
                  <c:v>-6.5164590359864549E-2</c:v>
                </c:pt>
                <c:pt idx="70">
                  <c:v>-1.1085389594716437</c:v>
                </c:pt>
                <c:pt idx="71">
                  <c:v>-6.7214891661153686E-3</c:v>
                </c:pt>
                <c:pt idx="72">
                  <c:v>4.1515756219214772E-3</c:v>
                </c:pt>
                <c:pt idx="73">
                  <c:v>0.18656111704775646</c:v>
                </c:pt>
                <c:pt idx="74">
                  <c:v>-0.91537424329814043</c:v>
                </c:pt>
                <c:pt idx="75">
                  <c:v>0.15405981272401414</c:v>
                </c:pt>
                <c:pt idx="76">
                  <c:v>1.2776234126056165</c:v>
                </c:pt>
                <c:pt idx="77">
                  <c:v>1.0041515756219215</c:v>
                </c:pt>
                <c:pt idx="78">
                  <c:v>0.86971491095228237</c:v>
                </c:pt>
                <c:pt idx="79">
                  <c:v>-9.7783784723975309E-2</c:v>
                </c:pt>
                <c:pt idx="80">
                  <c:v>1.5024640409958545E-2</c:v>
                </c:pt>
                <c:pt idx="81">
                  <c:v>-8.5794719221275129E-2</c:v>
                </c:pt>
                <c:pt idx="82">
                  <c:v>-6.6035991257469284E-3</c:v>
                </c:pt>
                <c:pt idx="83">
                  <c:v>-0.88275504893402956</c:v>
                </c:pt>
                <c:pt idx="84">
                  <c:v>-0.13028508904771763</c:v>
                </c:pt>
                <c:pt idx="85">
                  <c:v>-0.81343888295224354</c:v>
                </c:pt>
                <c:pt idx="86">
                  <c:v>0.91308928006406154</c:v>
                </c:pt>
                <c:pt idx="87">
                  <c:v>0.36797254779929645</c:v>
                </c:pt>
                <c:pt idx="88">
                  <c:v>-0.7548778917181258</c:v>
                </c:pt>
                <c:pt idx="89">
                  <c:v>-2.8349728701820842E-2</c:v>
                </c:pt>
                <c:pt idx="90">
                  <c:v>0.88058797574031922</c:v>
                </c:pt>
                <c:pt idx="91">
                  <c:v>4.1515756219214772E-3</c:v>
                </c:pt>
                <c:pt idx="92">
                  <c:v>-0.72237658739438348</c:v>
                </c:pt>
                <c:pt idx="93">
                  <c:v>6.2997517166154204E-2</c:v>
                </c:pt>
                <c:pt idx="94">
                  <c:v>1.0629975171661541</c:v>
                </c:pt>
                <c:pt idx="95">
                  <c:v>1.1756880522597195</c:v>
                </c:pt>
                <c:pt idx="96">
                  <c:v>0.96077720651014231</c:v>
                </c:pt>
                <c:pt idx="97">
                  <c:v>-0.63231240251081844</c:v>
                </c:pt>
                <c:pt idx="98">
                  <c:v>0.14318674793597719</c:v>
                </c:pt>
                <c:pt idx="99">
                  <c:v>-0.11941202425968078</c:v>
                </c:pt>
                <c:pt idx="100">
                  <c:v>-1.0067214891661154</c:v>
                </c:pt>
                <c:pt idx="101">
                  <c:v>0.23424904349383724</c:v>
                </c:pt>
                <c:pt idx="102">
                  <c:v>1.154059812724014</c:v>
                </c:pt>
                <c:pt idx="103">
                  <c:v>1.0258977051979954</c:v>
                </c:pt>
                <c:pt idx="104">
                  <c:v>-0.99584842437807852</c:v>
                </c:pt>
                <c:pt idx="105">
                  <c:v>-0.11941202425968078</c:v>
                </c:pt>
                <c:pt idx="106">
                  <c:v>0.97165027129817916</c:v>
                </c:pt>
                <c:pt idx="107">
                  <c:v>0.9239623448520986</c:v>
                </c:pt>
                <c:pt idx="108">
                  <c:v>0.29825354146702687</c:v>
                </c:pt>
                <c:pt idx="109">
                  <c:v>1.1865611170477566</c:v>
                </c:pt>
                <c:pt idx="110">
                  <c:v>-1.0869107199359385</c:v>
                </c:pt>
                <c:pt idx="111">
                  <c:v>0.98252333608621623</c:v>
                </c:pt>
                <c:pt idx="112">
                  <c:v>-1.0869107199359385</c:v>
                </c:pt>
                <c:pt idx="113">
                  <c:v>0.89146104052835629</c:v>
                </c:pt>
                <c:pt idx="114">
                  <c:v>-0.11941202425968078</c:v>
                </c:pt>
                <c:pt idx="115">
                  <c:v>-0.97410229480200461</c:v>
                </c:pt>
                <c:pt idx="116">
                  <c:v>-1.0283497287018208</c:v>
                </c:pt>
                <c:pt idx="117">
                  <c:v>-0.80256581816420658</c:v>
                </c:pt>
                <c:pt idx="118">
                  <c:v>1.0738705819541912</c:v>
                </c:pt>
                <c:pt idx="119">
                  <c:v>-0.93728743314396068</c:v>
                </c:pt>
                <c:pt idx="120">
                  <c:v>6.2997517166154204E-2</c:v>
                </c:pt>
                <c:pt idx="121">
                  <c:v>-6.7214891661153686E-3</c:v>
                </c:pt>
                <c:pt idx="122">
                  <c:v>-0.80256581816420658</c:v>
                </c:pt>
                <c:pt idx="123">
                  <c:v>1.0041515756219215</c:v>
                </c:pt>
                <c:pt idx="124">
                  <c:v>-0.9370024828338458</c:v>
                </c:pt>
                <c:pt idx="125">
                  <c:v>1.2342490434938371</c:v>
                </c:pt>
                <c:pt idx="126">
                  <c:v>-0.9370024828338458</c:v>
                </c:pt>
                <c:pt idx="127">
                  <c:v>-0.11941202425968078</c:v>
                </c:pt>
                <c:pt idx="128">
                  <c:v>0.99339640087425307</c:v>
                </c:pt>
                <c:pt idx="129">
                  <c:v>0.20719124590916682</c:v>
                </c:pt>
                <c:pt idx="130">
                  <c:v>1.2667503478175797</c:v>
                </c:pt>
                <c:pt idx="131">
                  <c:v>1.154059812724014</c:v>
                </c:pt>
                <c:pt idx="132">
                  <c:v>0.14318674793597719</c:v>
                </c:pt>
                <c:pt idx="133">
                  <c:v>-1.0066035991257469</c:v>
                </c:pt>
                <c:pt idx="134">
                  <c:v>0.1649328775120511</c:v>
                </c:pt>
                <c:pt idx="135">
                  <c:v>-0.9370024828338458</c:v>
                </c:pt>
                <c:pt idx="136">
                  <c:v>-1.1194120242596808</c:v>
                </c:pt>
                <c:pt idx="137">
                  <c:v>0.88058797574031922</c:v>
                </c:pt>
                <c:pt idx="138">
                  <c:v>-0.92612941804580884</c:v>
                </c:pt>
                <c:pt idx="139">
                  <c:v>0.61898731421895614</c:v>
                </c:pt>
                <c:pt idx="140">
                  <c:v>0.82314298522086493</c:v>
                </c:pt>
                <c:pt idx="141">
                  <c:v>1.0952138711797816</c:v>
                </c:pt>
                <c:pt idx="142">
                  <c:v>-0.7548778917181258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AA-4D59-A9F2-DA0D76006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65792"/>
        <c:axId val="418462912"/>
      </c:scatterChart>
      <c:valAx>
        <c:axId val="41846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Waste_Code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62912"/>
        <c:crosses val="autoZero"/>
        <c:crossBetween val="midCat"/>
      </c:valAx>
      <c:valAx>
        <c:axId val="418462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657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Aware of ai 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Codes!$E$2:$E$144</c:f>
              <c:numCache>
                <c:formatCode>General</c:formatCode>
                <c:ptCount val="14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</c:numCache>
            </c:numRef>
          </c:xVal>
          <c:yVal>
            <c:numRef>
              <c:f>Regression!$C$28:$C$170</c:f>
              <c:numCache>
                <c:formatCode>General</c:formatCode>
                <c:ptCount val="143"/>
                <c:pt idx="0">
                  <c:v>-0.94787554762188275</c:v>
                </c:pt>
                <c:pt idx="1">
                  <c:v>-1.1194120242596808</c:v>
                </c:pt>
                <c:pt idx="2">
                  <c:v>0.15405981272401414</c:v>
                </c:pt>
                <c:pt idx="3">
                  <c:v>-6.6035991257469284E-3</c:v>
                </c:pt>
                <c:pt idx="4">
                  <c:v>-1.0283497287018208</c:v>
                </c:pt>
                <c:pt idx="5">
                  <c:v>0.89146104052835629</c:v>
                </c:pt>
                <c:pt idx="6">
                  <c:v>-0.99584842437807852</c:v>
                </c:pt>
                <c:pt idx="7">
                  <c:v>0.91308928006406154</c:v>
                </c:pt>
                <c:pt idx="8">
                  <c:v>-0.90450117851010348</c:v>
                </c:pt>
                <c:pt idx="9">
                  <c:v>-0.82419405769991194</c:v>
                </c:pt>
                <c:pt idx="10">
                  <c:v>-0.93728743314396068</c:v>
                </c:pt>
                <c:pt idx="11">
                  <c:v>-8.6910719935938463E-2</c:v>
                </c:pt>
                <c:pt idx="12">
                  <c:v>0.2451221082818742</c:v>
                </c:pt>
                <c:pt idx="13">
                  <c:v>-1.0174766639137838</c:v>
                </c:pt>
                <c:pt idx="14">
                  <c:v>0.97165027129817916</c:v>
                </c:pt>
                <c:pt idx="15">
                  <c:v>0.88058797574031922</c:v>
                </c:pt>
                <c:pt idx="16">
                  <c:v>-0.72237658739438348</c:v>
                </c:pt>
                <c:pt idx="17">
                  <c:v>1.0629975171661541</c:v>
                </c:pt>
                <c:pt idx="18">
                  <c:v>1.0954988214898966</c:v>
                </c:pt>
                <c:pt idx="19">
                  <c:v>0.90221621527602469</c:v>
                </c:pt>
                <c:pt idx="20">
                  <c:v>-0.10853895947164371</c:v>
                </c:pt>
                <c:pt idx="21">
                  <c:v>-0.9370024828338458</c:v>
                </c:pt>
                <c:pt idx="22">
                  <c:v>1.0629975171661541</c:v>
                </c:pt>
                <c:pt idx="23">
                  <c:v>1.3788456125873334</c:v>
                </c:pt>
                <c:pt idx="24">
                  <c:v>0.15405981272401414</c:v>
                </c:pt>
                <c:pt idx="25">
                  <c:v>-2.8349728701820842E-2</c:v>
                </c:pt>
                <c:pt idx="26">
                  <c:v>0.97165027129817916</c:v>
                </c:pt>
                <c:pt idx="27">
                  <c:v>0.89146104052835629</c:v>
                </c:pt>
                <c:pt idx="28">
                  <c:v>9.5213871179781639E-2</c:v>
                </c:pt>
                <c:pt idx="29">
                  <c:v>-0.15091521790912821</c:v>
                </c:pt>
                <c:pt idx="30">
                  <c:v>0.10637188627793348</c:v>
                </c:pt>
                <c:pt idx="31">
                  <c:v>1.2180643106972038</c:v>
                </c:pt>
                <c:pt idx="32">
                  <c:v>-0.51933691710713825</c:v>
                </c:pt>
                <c:pt idx="33">
                  <c:v>-1.0283497287018208</c:v>
                </c:pt>
                <c:pt idx="34">
                  <c:v>0.15405981272401414</c:v>
                </c:pt>
                <c:pt idx="35">
                  <c:v>-0.90450117851010348</c:v>
                </c:pt>
                <c:pt idx="36">
                  <c:v>4.1515756219214772E-3</c:v>
                </c:pt>
                <c:pt idx="37">
                  <c:v>1.2884964773936534</c:v>
                </c:pt>
                <c:pt idx="38">
                  <c:v>-0.90478612882021836</c:v>
                </c:pt>
                <c:pt idx="39">
                  <c:v>-0.80256581816420658</c:v>
                </c:pt>
                <c:pt idx="40">
                  <c:v>-0.85681325206402281</c:v>
                </c:pt>
                <c:pt idx="41">
                  <c:v>-0.72237658739438348</c:v>
                </c:pt>
                <c:pt idx="42">
                  <c:v>-1.1194120242596808</c:v>
                </c:pt>
                <c:pt idx="43">
                  <c:v>0.1649328775120511</c:v>
                </c:pt>
                <c:pt idx="44">
                  <c:v>9.5498821489896524E-2</c:v>
                </c:pt>
                <c:pt idx="45">
                  <c:v>0.14318674793597719</c:v>
                </c:pt>
                <c:pt idx="46">
                  <c:v>7.3870581954191161E-2</c:v>
                </c:pt>
                <c:pt idx="47">
                  <c:v>0.19743418183579342</c:v>
                </c:pt>
                <c:pt idx="48">
                  <c:v>-0.81343888295224354</c:v>
                </c:pt>
                <c:pt idx="49">
                  <c:v>1.0954988214898966</c:v>
                </c:pt>
                <c:pt idx="50">
                  <c:v>-0.10853895947164371</c:v>
                </c:pt>
                <c:pt idx="51">
                  <c:v>0.25599517306991115</c:v>
                </c:pt>
                <c:pt idx="52">
                  <c:v>-1.0283497287018208</c:v>
                </c:pt>
                <c:pt idx="53">
                  <c:v>-2.8349728701820842E-2</c:v>
                </c:pt>
                <c:pt idx="54">
                  <c:v>1.2776234126056165</c:v>
                </c:pt>
                <c:pt idx="55">
                  <c:v>0.40047385212303876</c:v>
                </c:pt>
                <c:pt idx="56">
                  <c:v>-0.9370024828338458</c:v>
                </c:pt>
                <c:pt idx="57">
                  <c:v>0.18656111704775646</c:v>
                </c:pt>
                <c:pt idx="58">
                  <c:v>-1.0651645903598645</c:v>
                </c:pt>
                <c:pt idx="59">
                  <c:v>-0.81343888295224354</c:v>
                </c:pt>
                <c:pt idx="60">
                  <c:v>1.0954988214898966</c:v>
                </c:pt>
                <c:pt idx="61">
                  <c:v>-0.81343888295224354</c:v>
                </c:pt>
                <c:pt idx="62">
                  <c:v>0.97165027129817916</c:v>
                </c:pt>
                <c:pt idx="63">
                  <c:v>-0.91537424329814043</c:v>
                </c:pt>
                <c:pt idx="64">
                  <c:v>0.82285803491075016</c:v>
                </c:pt>
                <c:pt idx="65">
                  <c:v>-0.82431194774028049</c:v>
                </c:pt>
                <c:pt idx="66">
                  <c:v>-0.69087339374493617</c:v>
                </c:pt>
                <c:pt idx="67">
                  <c:v>-0.9370024828338458</c:v>
                </c:pt>
                <c:pt idx="68">
                  <c:v>-0.97410229480200461</c:v>
                </c:pt>
                <c:pt idx="69">
                  <c:v>-6.5164590359864549E-2</c:v>
                </c:pt>
                <c:pt idx="70">
                  <c:v>-1.1085389594716437</c:v>
                </c:pt>
                <c:pt idx="71">
                  <c:v>-6.7214891661153686E-3</c:v>
                </c:pt>
                <c:pt idx="72">
                  <c:v>4.1515756219214772E-3</c:v>
                </c:pt>
                <c:pt idx="73">
                  <c:v>0.18656111704775646</c:v>
                </c:pt>
                <c:pt idx="74">
                  <c:v>-0.91537424329814043</c:v>
                </c:pt>
                <c:pt idx="75">
                  <c:v>0.15405981272401414</c:v>
                </c:pt>
                <c:pt idx="76">
                  <c:v>1.2776234126056165</c:v>
                </c:pt>
                <c:pt idx="77">
                  <c:v>1.0041515756219215</c:v>
                </c:pt>
                <c:pt idx="78">
                  <c:v>0.86971491095228237</c:v>
                </c:pt>
                <c:pt idx="79">
                  <c:v>-9.7783784723975309E-2</c:v>
                </c:pt>
                <c:pt idx="80">
                  <c:v>1.5024640409958545E-2</c:v>
                </c:pt>
                <c:pt idx="81">
                  <c:v>-8.5794719221275129E-2</c:v>
                </c:pt>
                <c:pt idx="82">
                  <c:v>-6.6035991257469284E-3</c:v>
                </c:pt>
                <c:pt idx="83">
                  <c:v>-0.88275504893402956</c:v>
                </c:pt>
                <c:pt idx="84">
                  <c:v>-0.13028508904771763</c:v>
                </c:pt>
                <c:pt idx="85">
                  <c:v>-0.81343888295224354</c:v>
                </c:pt>
                <c:pt idx="86">
                  <c:v>0.91308928006406154</c:v>
                </c:pt>
                <c:pt idx="87">
                  <c:v>0.36797254779929645</c:v>
                </c:pt>
                <c:pt idx="88">
                  <c:v>-0.7548778917181258</c:v>
                </c:pt>
                <c:pt idx="89">
                  <c:v>-2.8349728701820842E-2</c:v>
                </c:pt>
                <c:pt idx="90">
                  <c:v>0.88058797574031922</c:v>
                </c:pt>
                <c:pt idx="91">
                  <c:v>4.1515756219214772E-3</c:v>
                </c:pt>
                <c:pt idx="92">
                  <c:v>-0.72237658739438348</c:v>
                </c:pt>
                <c:pt idx="93">
                  <c:v>6.2997517166154204E-2</c:v>
                </c:pt>
                <c:pt idx="94">
                  <c:v>1.0629975171661541</c:v>
                </c:pt>
                <c:pt idx="95">
                  <c:v>1.1756880522597195</c:v>
                </c:pt>
                <c:pt idx="96">
                  <c:v>0.96077720651014231</c:v>
                </c:pt>
                <c:pt idx="97">
                  <c:v>-0.63231240251081844</c:v>
                </c:pt>
                <c:pt idx="98">
                  <c:v>0.14318674793597719</c:v>
                </c:pt>
                <c:pt idx="99">
                  <c:v>-0.11941202425968078</c:v>
                </c:pt>
                <c:pt idx="100">
                  <c:v>-1.0067214891661154</c:v>
                </c:pt>
                <c:pt idx="101">
                  <c:v>0.23424904349383724</c:v>
                </c:pt>
                <c:pt idx="102">
                  <c:v>1.154059812724014</c:v>
                </c:pt>
                <c:pt idx="103">
                  <c:v>1.0258977051979954</c:v>
                </c:pt>
                <c:pt idx="104">
                  <c:v>-0.99584842437807852</c:v>
                </c:pt>
                <c:pt idx="105">
                  <c:v>-0.11941202425968078</c:v>
                </c:pt>
                <c:pt idx="106">
                  <c:v>0.97165027129817916</c:v>
                </c:pt>
                <c:pt idx="107">
                  <c:v>0.9239623448520986</c:v>
                </c:pt>
                <c:pt idx="108">
                  <c:v>0.29825354146702687</c:v>
                </c:pt>
                <c:pt idx="109">
                  <c:v>1.1865611170477566</c:v>
                </c:pt>
                <c:pt idx="110">
                  <c:v>-1.0869107199359385</c:v>
                </c:pt>
                <c:pt idx="111">
                  <c:v>0.98252333608621623</c:v>
                </c:pt>
                <c:pt idx="112">
                  <c:v>-1.0869107199359385</c:v>
                </c:pt>
                <c:pt idx="113">
                  <c:v>0.89146104052835629</c:v>
                </c:pt>
                <c:pt idx="114">
                  <c:v>-0.11941202425968078</c:v>
                </c:pt>
                <c:pt idx="115">
                  <c:v>-0.97410229480200461</c:v>
                </c:pt>
                <c:pt idx="116">
                  <c:v>-1.0283497287018208</c:v>
                </c:pt>
                <c:pt idx="117">
                  <c:v>-0.80256581816420658</c:v>
                </c:pt>
                <c:pt idx="118">
                  <c:v>1.0738705819541912</c:v>
                </c:pt>
                <c:pt idx="119">
                  <c:v>-0.93728743314396068</c:v>
                </c:pt>
                <c:pt idx="120">
                  <c:v>6.2997517166154204E-2</c:v>
                </c:pt>
                <c:pt idx="121">
                  <c:v>-6.7214891661153686E-3</c:v>
                </c:pt>
                <c:pt idx="122">
                  <c:v>-0.80256581816420658</c:v>
                </c:pt>
                <c:pt idx="123">
                  <c:v>1.0041515756219215</c:v>
                </c:pt>
                <c:pt idx="124">
                  <c:v>-0.9370024828338458</c:v>
                </c:pt>
                <c:pt idx="125">
                  <c:v>1.2342490434938371</c:v>
                </c:pt>
                <c:pt idx="126">
                  <c:v>-0.9370024828338458</c:v>
                </c:pt>
                <c:pt idx="127">
                  <c:v>-0.11941202425968078</c:v>
                </c:pt>
                <c:pt idx="128">
                  <c:v>0.99339640087425307</c:v>
                </c:pt>
                <c:pt idx="129">
                  <c:v>0.20719124590916682</c:v>
                </c:pt>
                <c:pt idx="130">
                  <c:v>1.2667503478175797</c:v>
                </c:pt>
                <c:pt idx="131">
                  <c:v>1.154059812724014</c:v>
                </c:pt>
                <c:pt idx="132">
                  <c:v>0.14318674793597719</c:v>
                </c:pt>
                <c:pt idx="133">
                  <c:v>-1.0066035991257469</c:v>
                </c:pt>
                <c:pt idx="134">
                  <c:v>0.1649328775120511</c:v>
                </c:pt>
                <c:pt idx="135">
                  <c:v>-0.9370024828338458</c:v>
                </c:pt>
                <c:pt idx="136">
                  <c:v>-1.1194120242596808</c:v>
                </c:pt>
                <c:pt idx="137">
                  <c:v>0.88058797574031922</c:v>
                </c:pt>
                <c:pt idx="138">
                  <c:v>-0.92612941804580884</c:v>
                </c:pt>
                <c:pt idx="139">
                  <c:v>0.61898731421895614</c:v>
                </c:pt>
                <c:pt idx="140">
                  <c:v>0.82314298522086493</c:v>
                </c:pt>
                <c:pt idx="141">
                  <c:v>1.0952138711797816</c:v>
                </c:pt>
                <c:pt idx="142">
                  <c:v>-0.7548778917181258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D4-4ED8-8BFF-6B7B2A5EF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70592"/>
        <c:axId val="418468672"/>
      </c:scatterChart>
      <c:valAx>
        <c:axId val="41847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Aware of ai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68672"/>
        <c:crosses val="autoZero"/>
        <c:crossBetween val="midCat"/>
      </c:valAx>
      <c:valAx>
        <c:axId val="41846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705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 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Support Bin code</c:v>
          </c:tx>
          <c:spPr>
            <a:ln w="19050">
              <a:noFill/>
            </a:ln>
          </c:spPr>
          <c:xVal>
            <c:numRef>
              <c:f>Codes!$A$2:$A$144</c:f>
              <c:numCache>
                <c:formatCode>General</c:formatCode>
                <c:ptCount val="1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</c:numCache>
            </c:numRef>
          </c:xVal>
          <c:yVal>
            <c:numRef>
              <c:f>Codes!$F$2:$F$144</c:f>
              <c:numCache>
                <c:formatCode>General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D0-4C55-9D47-5ED6CE0F5286}"/>
            </c:ext>
          </c:extLst>
        </c:ser>
        <c:ser>
          <c:idx val="1"/>
          <c:order val="1"/>
          <c:tx>
            <c:v>Predicted Support Bin code</c:v>
          </c:tx>
          <c:spPr>
            <a:ln w="19050">
              <a:noFill/>
            </a:ln>
          </c:spPr>
          <c:xVal>
            <c:numRef>
              <c:f>Codes!$A$2:$A$144</c:f>
              <c:numCache>
                <c:formatCode>General</c:formatCode>
                <c:ptCount val="1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</c:numCache>
            </c:numRef>
          </c:xVal>
          <c:yVal>
            <c:numRef>
              <c:f>Regression!$B$28:$B$170</c:f>
              <c:numCache>
                <c:formatCode>General</c:formatCode>
                <c:ptCount val="143"/>
                <c:pt idx="0">
                  <c:v>0.94787554762188275</c:v>
                </c:pt>
                <c:pt idx="1">
                  <c:v>1.1194120242596808</c:v>
                </c:pt>
                <c:pt idx="2">
                  <c:v>0.84594018727598586</c:v>
                </c:pt>
                <c:pt idx="3">
                  <c:v>1.0066035991257469</c:v>
                </c:pt>
                <c:pt idx="4">
                  <c:v>1.0283497287018208</c:v>
                </c:pt>
                <c:pt idx="5">
                  <c:v>1.1085389594716437</c:v>
                </c:pt>
                <c:pt idx="6">
                  <c:v>0.99584842437807852</c:v>
                </c:pt>
                <c:pt idx="7">
                  <c:v>1.0869107199359385</c:v>
                </c:pt>
                <c:pt idx="8">
                  <c:v>0.90450117851010348</c:v>
                </c:pt>
                <c:pt idx="9">
                  <c:v>0.82419405769991194</c:v>
                </c:pt>
                <c:pt idx="10">
                  <c:v>0.93728743314396068</c:v>
                </c:pt>
                <c:pt idx="11">
                  <c:v>1.0869107199359385</c:v>
                </c:pt>
                <c:pt idx="12">
                  <c:v>0.7548778917181258</c:v>
                </c:pt>
                <c:pt idx="13">
                  <c:v>1.0174766639137838</c:v>
                </c:pt>
                <c:pt idx="14">
                  <c:v>1.0283497287018208</c:v>
                </c:pt>
                <c:pt idx="15">
                  <c:v>1.1194120242596808</c:v>
                </c:pt>
                <c:pt idx="16">
                  <c:v>0.72237658739438348</c:v>
                </c:pt>
                <c:pt idx="17">
                  <c:v>0.9370024828338458</c:v>
                </c:pt>
                <c:pt idx="18">
                  <c:v>0.90450117851010348</c:v>
                </c:pt>
                <c:pt idx="19">
                  <c:v>1.0977837847239753</c:v>
                </c:pt>
                <c:pt idx="20">
                  <c:v>1.1085389594716437</c:v>
                </c:pt>
                <c:pt idx="21">
                  <c:v>0.9370024828338458</c:v>
                </c:pt>
                <c:pt idx="22">
                  <c:v>0.9370024828338458</c:v>
                </c:pt>
                <c:pt idx="23">
                  <c:v>0.6211543874126666</c:v>
                </c:pt>
                <c:pt idx="24">
                  <c:v>0.84594018727598586</c:v>
                </c:pt>
                <c:pt idx="25">
                  <c:v>1.0283497287018208</c:v>
                </c:pt>
                <c:pt idx="26">
                  <c:v>1.0283497287018208</c:v>
                </c:pt>
                <c:pt idx="27">
                  <c:v>1.1085389594716437</c:v>
                </c:pt>
                <c:pt idx="28">
                  <c:v>0.90478612882021836</c:v>
                </c:pt>
                <c:pt idx="29">
                  <c:v>1.1509152179091282</c:v>
                </c:pt>
                <c:pt idx="30">
                  <c:v>0.89362811372206652</c:v>
                </c:pt>
                <c:pt idx="31">
                  <c:v>0.78193568930279622</c:v>
                </c:pt>
                <c:pt idx="32">
                  <c:v>0.51933691710713825</c:v>
                </c:pt>
                <c:pt idx="33">
                  <c:v>1.0283497287018208</c:v>
                </c:pt>
                <c:pt idx="34">
                  <c:v>0.84594018727598586</c:v>
                </c:pt>
                <c:pt idx="35">
                  <c:v>0.90450117851010348</c:v>
                </c:pt>
                <c:pt idx="36">
                  <c:v>0.99584842437807852</c:v>
                </c:pt>
                <c:pt idx="37">
                  <c:v>0.71150352260634653</c:v>
                </c:pt>
                <c:pt idx="38">
                  <c:v>0.90478612882021836</c:v>
                </c:pt>
                <c:pt idx="39">
                  <c:v>0.80256581816420658</c:v>
                </c:pt>
                <c:pt idx="40">
                  <c:v>0.85681325206402281</c:v>
                </c:pt>
                <c:pt idx="41">
                  <c:v>0.72237658739438348</c:v>
                </c:pt>
                <c:pt idx="42">
                  <c:v>1.1194120242596808</c:v>
                </c:pt>
                <c:pt idx="43">
                  <c:v>0.8350671224879489</c:v>
                </c:pt>
                <c:pt idx="44">
                  <c:v>0.90450117851010348</c:v>
                </c:pt>
                <c:pt idx="45">
                  <c:v>0.85681325206402281</c:v>
                </c:pt>
                <c:pt idx="46">
                  <c:v>0.92612941804580884</c:v>
                </c:pt>
                <c:pt idx="47">
                  <c:v>0.80256581816420658</c:v>
                </c:pt>
                <c:pt idx="48">
                  <c:v>0.81343888295224354</c:v>
                </c:pt>
                <c:pt idx="49">
                  <c:v>0.90450117851010348</c:v>
                </c:pt>
                <c:pt idx="50">
                  <c:v>1.1085389594716437</c:v>
                </c:pt>
                <c:pt idx="51">
                  <c:v>0.74400482693008885</c:v>
                </c:pt>
                <c:pt idx="52">
                  <c:v>1.0283497287018208</c:v>
                </c:pt>
                <c:pt idx="53">
                  <c:v>1.0283497287018208</c:v>
                </c:pt>
                <c:pt idx="54">
                  <c:v>0.72237658739438348</c:v>
                </c:pt>
                <c:pt idx="55">
                  <c:v>0.59952614787696124</c:v>
                </c:pt>
                <c:pt idx="56">
                  <c:v>0.9370024828338458</c:v>
                </c:pt>
                <c:pt idx="57">
                  <c:v>0.81343888295224354</c:v>
                </c:pt>
                <c:pt idx="58">
                  <c:v>1.0651645903598645</c:v>
                </c:pt>
                <c:pt idx="59">
                  <c:v>0.81343888295224354</c:v>
                </c:pt>
                <c:pt idx="60">
                  <c:v>0.90450117851010348</c:v>
                </c:pt>
                <c:pt idx="61">
                  <c:v>0.81343888295224354</c:v>
                </c:pt>
                <c:pt idx="62">
                  <c:v>1.0283497287018208</c:v>
                </c:pt>
                <c:pt idx="63">
                  <c:v>0.91537424329814043</c:v>
                </c:pt>
                <c:pt idx="64">
                  <c:v>1.1771419650892498</c:v>
                </c:pt>
                <c:pt idx="65">
                  <c:v>0.82431194774028049</c:v>
                </c:pt>
                <c:pt idx="66">
                  <c:v>0.69087339374493617</c:v>
                </c:pt>
                <c:pt idx="67">
                  <c:v>0.9370024828338458</c:v>
                </c:pt>
                <c:pt idx="68">
                  <c:v>0.97410229480200461</c:v>
                </c:pt>
                <c:pt idx="69">
                  <c:v>1.0651645903598645</c:v>
                </c:pt>
                <c:pt idx="70">
                  <c:v>1.1085389594716437</c:v>
                </c:pt>
                <c:pt idx="71">
                  <c:v>1.0067214891661154</c:v>
                </c:pt>
                <c:pt idx="72">
                  <c:v>0.99584842437807852</c:v>
                </c:pt>
                <c:pt idx="73">
                  <c:v>0.81343888295224354</c:v>
                </c:pt>
                <c:pt idx="74">
                  <c:v>0.91537424329814043</c:v>
                </c:pt>
                <c:pt idx="75">
                  <c:v>0.84594018727598586</c:v>
                </c:pt>
                <c:pt idx="76">
                  <c:v>0.72237658739438348</c:v>
                </c:pt>
                <c:pt idx="77">
                  <c:v>0.99584842437807852</c:v>
                </c:pt>
                <c:pt idx="78">
                  <c:v>1.1302850890477176</c:v>
                </c:pt>
                <c:pt idx="79">
                  <c:v>1.0977837847239753</c:v>
                </c:pt>
                <c:pt idx="80">
                  <c:v>0.98497535959004145</c:v>
                </c:pt>
                <c:pt idx="81">
                  <c:v>1.0857947192212751</c:v>
                </c:pt>
                <c:pt idx="82">
                  <c:v>1.0066035991257469</c:v>
                </c:pt>
                <c:pt idx="83">
                  <c:v>0.88275504893402956</c:v>
                </c:pt>
                <c:pt idx="84">
                  <c:v>1.1302850890477176</c:v>
                </c:pt>
                <c:pt idx="85">
                  <c:v>0.81343888295224354</c:v>
                </c:pt>
                <c:pt idx="86">
                  <c:v>1.0869107199359385</c:v>
                </c:pt>
                <c:pt idx="87">
                  <c:v>0.63202745220070355</c:v>
                </c:pt>
                <c:pt idx="88">
                  <c:v>0.7548778917181258</c:v>
                </c:pt>
                <c:pt idx="89">
                  <c:v>1.0283497287018208</c:v>
                </c:pt>
                <c:pt idx="90">
                  <c:v>1.1194120242596808</c:v>
                </c:pt>
                <c:pt idx="91">
                  <c:v>0.99584842437807852</c:v>
                </c:pt>
                <c:pt idx="92">
                  <c:v>0.72237658739438348</c:v>
                </c:pt>
                <c:pt idx="93">
                  <c:v>0.9370024828338458</c:v>
                </c:pt>
                <c:pt idx="94">
                  <c:v>0.9370024828338458</c:v>
                </c:pt>
                <c:pt idx="95">
                  <c:v>0.82431194774028049</c:v>
                </c:pt>
                <c:pt idx="96">
                  <c:v>1.0392227934898577</c:v>
                </c:pt>
                <c:pt idx="97">
                  <c:v>0.63231240251081844</c:v>
                </c:pt>
                <c:pt idx="98">
                  <c:v>0.85681325206402281</c:v>
                </c:pt>
                <c:pt idx="99">
                  <c:v>1.1194120242596808</c:v>
                </c:pt>
                <c:pt idx="100">
                  <c:v>1.0067214891661154</c:v>
                </c:pt>
                <c:pt idx="101">
                  <c:v>0.76575095650616276</c:v>
                </c:pt>
                <c:pt idx="102">
                  <c:v>0.84594018727598586</c:v>
                </c:pt>
                <c:pt idx="103">
                  <c:v>0.97410229480200461</c:v>
                </c:pt>
                <c:pt idx="104">
                  <c:v>0.99584842437807852</c:v>
                </c:pt>
                <c:pt idx="105">
                  <c:v>1.1194120242596808</c:v>
                </c:pt>
                <c:pt idx="106">
                  <c:v>1.0283497287018208</c:v>
                </c:pt>
                <c:pt idx="107">
                  <c:v>1.0760376551479014</c:v>
                </c:pt>
                <c:pt idx="108">
                  <c:v>0.70174645853297313</c:v>
                </c:pt>
                <c:pt idx="109">
                  <c:v>0.81343888295224354</c:v>
                </c:pt>
                <c:pt idx="110">
                  <c:v>1.0869107199359385</c:v>
                </c:pt>
                <c:pt idx="111">
                  <c:v>1.0174766639137838</c:v>
                </c:pt>
                <c:pt idx="112">
                  <c:v>1.0869107199359385</c:v>
                </c:pt>
                <c:pt idx="113">
                  <c:v>1.1085389594716437</c:v>
                </c:pt>
                <c:pt idx="114">
                  <c:v>1.1194120242596808</c:v>
                </c:pt>
                <c:pt idx="115">
                  <c:v>0.97410229480200461</c:v>
                </c:pt>
                <c:pt idx="116">
                  <c:v>1.0283497287018208</c:v>
                </c:pt>
                <c:pt idx="117">
                  <c:v>0.80256581816420658</c:v>
                </c:pt>
                <c:pt idx="118">
                  <c:v>0.92612941804580884</c:v>
                </c:pt>
                <c:pt idx="119">
                  <c:v>0.93728743314396068</c:v>
                </c:pt>
                <c:pt idx="120">
                  <c:v>0.9370024828338458</c:v>
                </c:pt>
                <c:pt idx="121">
                  <c:v>1.0067214891661154</c:v>
                </c:pt>
                <c:pt idx="122">
                  <c:v>0.80256581816420658</c:v>
                </c:pt>
                <c:pt idx="123">
                  <c:v>0.99584842437807852</c:v>
                </c:pt>
                <c:pt idx="124">
                  <c:v>0.9370024828338458</c:v>
                </c:pt>
                <c:pt idx="125">
                  <c:v>0.76575095650616276</c:v>
                </c:pt>
                <c:pt idx="126">
                  <c:v>0.9370024828338458</c:v>
                </c:pt>
                <c:pt idx="127">
                  <c:v>1.1194120242596808</c:v>
                </c:pt>
                <c:pt idx="128">
                  <c:v>1.0066035991257469</c:v>
                </c:pt>
                <c:pt idx="129">
                  <c:v>0.79280875409083318</c:v>
                </c:pt>
                <c:pt idx="130">
                  <c:v>0.73324965218242044</c:v>
                </c:pt>
                <c:pt idx="131">
                  <c:v>0.84594018727598586</c:v>
                </c:pt>
                <c:pt idx="132">
                  <c:v>0.85681325206402281</c:v>
                </c:pt>
                <c:pt idx="133">
                  <c:v>1.0066035991257469</c:v>
                </c:pt>
                <c:pt idx="134">
                  <c:v>0.8350671224879489</c:v>
                </c:pt>
                <c:pt idx="135">
                  <c:v>0.9370024828338458</c:v>
                </c:pt>
                <c:pt idx="136">
                  <c:v>1.1194120242596808</c:v>
                </c:pt>
                <c:pt idx="137">
                  <c:v>1.1194120242596808</c:v>
                </c:pt>
                <c:pt idx="138">
                  <c:v>0.92612941804580884</c:v>
                </c:pt>
                <c:pt idx="139">
                  <c:v>1.3810126857810439</c:v>
                </c:pt>
                <c:pt idx="140">
                  <c:v>1.1768570147791351</c:v>
                </c:pt>
                <c:pt idx="141">
                  <c:v>0.90478612882021836</c:v>
                </c:pt>
                <c:pt idx="142">
                  <c:v>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D0-4C55-9D47-5ED6CE0F5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69152"/>
        <c:axId val="418474432"/>
      </c:scatterChart>
      <c:valAx>
        <c:axId val="41846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74432"/>
        <c:crosses val="autoZero"/>
        <c:crossBetween val="midCat"/>
      </c:valAx>
      <c:valAx>
        <c:axId val="418474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Bin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69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code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Support Bin code</c:v>
          </c:tx>
          <c:spPr>
            <a:ln w="19050">
              <a:noFill/>
            </a:ln>
          </c:spPr>
          <c:xVal>
            <c:numRef>
              <c:f>Codes!$B$2:$B$144</c:f>
              <c:numCache>
                <c:formatCode>General</c:formatCode>
                <c:ptCount val="1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</c:numCache>
            </c:numRef>
          </c:xVal>
          <c:yVal>
            <c:numRef>
              <c:f>Codes!$F$2:$F$144</c:f>
              <c:numCache>
                <c:formatCode>General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FD-434B-83E8-5070986F5656}"/>
            </c:ext>
          </c:extLst>
        </c:ser>
        <c:ser>
          <c:idx val="1"/>
          <c:order val="1"/>
          <c:tx>
            <c:v>Predicted Support Bin code</c:v>
          </c:tx>
          <c:spPr>
            <a:ln w="19050">
              <a:noFill/>
            </a:ln>
          </c:spPr>
          <c:xVal>
            <c:numRef>
              <c:f>Codes!$B$2:$B$144</c:f>
              <c:numCache>
                <c:formatCode>General</c:formatCode>
                <c:ptCount val="1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</c:numCache>
            </c:numRef>
          </c:xVal>
          <c:yVal>
            <c:numRef>
              <c:f>Regression!$B$28:$B$170</c:f>
              <c:numCache>
                <c:formatCode>General</c:formatCode>
                <c:ptCount val="143"/>
                <c:pt idx="0">
                  <c:v>0.94787554762188275</c:v>
                </c:pt>
                <c:pt idx="1">
                  <c:v>1.1194120242596808</c:v>
                </c:pt>
                <c:pt idx="2">
                  <c:v>0.84594018727598586</c:v>
                </c:pt>
                <c:pt idx="3">
                  <c:v>1.0066035991257469</c:v>
                </c:pt>
                <c:pt idx="4">
                  <c:v>1.0283497287018208</c:v>
                </c:pt>
                <c:pt idx="5">
                  <c:v>1.1085389594716437</c:v>
                </c:pt>
                <c:pt idx="6">
                  <c:v>0.99584842437807852</c:v>
                </c:pt>
                <c:pt idx="7">
                  <c:v>1.0869107199359385</c:v>
                </c:pt>
                <c:pt idx="8">
                  <c:v>0.90450117851010348</c:v>
                </c:pt>
                <c:pt idx="9">
                  <c:v>0.82419405769991194</c:v>
                </c:pt>
                <c:pt idx="10">
                  <c:v>0.93728743314396068</c:v>
                </c:pt>
                <c:pt idx="11">
                  <c:v>1.0869107199359385</c:v>
                </c:pt>
                <c:pt idx="12">
                  <c:v>0.7548778917181258</c:v>
                </c:pt>
                <c:pt idx="13">
                  <c:v>1.0174766639137838</c:v>
                </c:pt>
                <c:pt idx="14">
                  <c:v>1.0283497287018208</c:v>
                </c:pt>
                <c:pt idx="15">
                  <c:v>1.1194120242596808</c:v>
                </c:pt>
                <c:pt idx="16">
                  <c:v>0.72237658739438348</c:v>
                </c:pt>
                <c:pt idx="17">
                  <c:v>0.9370024828338458</c:v>
                </c:pt>
                <c:pt idx="18">
                  <c:v>0.90450117851010348</c:v>
                </c:pt>
                <c:pt idx="19">
                  <c:v>1.0977837847239753</c:v>
                </c:pt>
                <c:pt idx="20">
                  <c:v>1.1085389594716437</c:v>
                </c:pt>
                <c:pt idx="21">
                  <c:v>0.9370024828338458</c:v>
                </c:pt>
                <c:pt idx="22">
                  <c:v>0.9370024828338458</c:v>
                </c:pt>
                <c:pt idx="23">
                  <c:v>0.6211543874126666</c:v>
                </c:pt>
                <c:pt idx="24">
                  <c:v>0.84594018727598586</c:v>
                </c:pt>
                <c:pt idx="25">
                  <c:v>1.0283497287018208</c:v>
                </c:pt>
                <c:pt idx="26">
                  <c:v>1.0283497287018208</c:v>
                </c:pt>
                <c:pt idx="27">
                  <c:v>1.1085389594716437</c:v>
                </c:pt>
                <c:pt idx="28">
                  <c:v>0.90478612882021836</c:v>
                </c:pt>
                <c:pt idx="29">
                  <c:v>1.1509152179091282</c:v>
                </c:pt>
                <c:pt idx="30">
                  <c:v>0.89362811372206652</c:v>
                </c:pt>
                <c:pt idx="31">
                  <c:v>0.78193568930279622</c:v>
                </c:pt>
                <c:pt idx="32">
                  <c:v>0.51933691710713825</c:v>
                </c:pt>
                <c:pt idx="33">
                  <c:v>1.0283497287018208</c:v>
                </c:pt>
                <c:pt idx="34">
                  <c:v>0.84594018727598586</c:v>
                </c:pt>
                <c:pt idx="35">
                  <c:v>0.90450117851010348</c:v>
                </c:pt>
                <c:pt idx="36">
                  <c:v>0.99584842437807852</c:v>
                </c:pt>
                <c:pt idx="37">
                  <c:v>0.71150352260634653</c:v>
                </c:pt>
                <c:pt idx="38">
                  <c:v>0.90478612882021836</c:v>
                </c:pt>
                <c:pt idx="39">
                  <c:v>0.80256581816420658</c:v>
                </c:pt>
                <c:pt idx="40">
                  <c:v>0.85681325206402281</c:v>
                </c:pt>
                <c:pt idx="41">
                  <c:v>0.72237658739438348</c:v>
                </c:pt>
                <c:pt idx="42">
                  <c:v>1.1194120242596808</c:v>
                </c:pt>
                <c:pt idx="43">
                  <c:v>0.8350671224879489</c:v>
                </c:pt>
                <c:pt idx="44">
                  <c:v>0.90450117851010348</c:v>
                </c:pt>
                <c:pt idx="45">
                  <c:v>0.85681325206402281</c:v>
                </c:pt>
                <c:pt idx="46">
                  <c:v>0.92612941804580884</c:v>
                </c:pt>
                <c:pt idx="47">
                  <c:v>0.80256581816420658</c:v>
                </c:pt>
                <c:pt idx="48">
                  <c:v>0.81343888295224354</c:v>
                </c:pt>
                <c:pt idx="49">
                  <c:v>0.90450117851010348</c:v>
                </c:pt>
                <c:pt idx="50">
                  <c:v>1.1085389594716437</c:v>
                </c:pt>
                <c:pt idx="51">
                  <c:v>0.74400482693008885</c:v>
                </c:pt>
                <c:pt idx="52">
                  <c:v>1.0283497287018208</c:v>
                </c:pt>
                <c:pt idx="53">
                  <c:v>1.0283497287018208</c:v>
                </c:pt>
                <c:pt idx="54">
                  <c:v>0.72237658739438348</c:v>
                </c:pt>
                <c:pt idx="55">
                  <c:v>0.59952614787696124</c:v>
                </c:pt>
                <c:pt idx="56">
                  <c:v>0.9370024828338458</c:v>
                </c:pt>
                <c:pt idx="57">
                  <c:v>0.81343888295224354</c:v>
                </c:pt>
                <c:pt idx="58">
                  <c:v>1.0651645903598645</c:v>
                </c:pt>
                <c:pt idx="59">
                  <c:v>0.81343888295224354</c:v>
                </c:pt>
                <c:pt idx="60">
                  <c:v>0.90450117851010348</c:v>
                </c:pt>
                <c:pt idx="61">
                  <c:v>0.81343888295224354</c:v>
                </c:pt>
                <c:pt idx="62">
                  <c:v>1.0283497287018208</c:v>
                </c:pt>
                <c:pt idx="63">
                  <c:v>0.91537424329814043</c:v>
                </c:pt>
                <c:pt idx="64">
                  <c:v>1.1771419650892498</c:v>
                </c:pt>
                <c:pt idx="65">
                  <c:v>0.82431194774028049</c:v>
                </c:pt>
                <c:pt idx="66">
                  <c:v>0.69087339374493617</c:v>
                </c:pt>
                <c:pt idx="67">
                  <c:v>0.9370024828338458</c:v>
                </c:pt>
                <c:pt idx="68">
                  <c:v>0.97410229480200461</c:v>
                </c:pt>
                <c:pt idx="69">
                  <c:v>1.0651645903598645</c:v>
                </c:pt>
                <c:pt idx="70">
                  <c:v>1.1085389594716437</c:v>
                </c:pt>
                <c:pt idx="71">
                  <c:v>1.0067214891661154</c:v>
                </c:pt>
                <c:pt idx="72">
                  <c:v>0.99584842437807852</c:v>
                </c:pt>
                <c:pt idx="73">
                  <c:v>0.81343888295224354</c:v>
                </c:pt>
                <c:pt idx="74">
                  <c:v>0.91537424329814043</c:v>
                </c:pt>
                <c:pt idx="75">
                  <c:v>0.84594018727598586</c:v>
                </c:pt>
                <c:pt idx="76">
                  <c:v>0.72237658739438348</c:v>
                </c:pt>
                <c:pt idx="77">
                  <c:v>0.99584842437807852</c:v>
                </c:pt>
                <c:pt idx="78">
                  <c:v>1.1302850890477176</c:v>
                </c:pt>
                <c:pt idx="79">
                  <c:v>1.0977837847239753</c:v>
                </c:pt>
                <c:pt idx="80">
                  <c:v>0.98497535959004145</c:v>
                </c:pt>
                <c:pt idx="81">
                  <c:v>1.0857947192212751</c:v>
                </c:pt>
                <c:pt idx="82">
                  <c:v>1.0066035991257469</c:v>
                </c:pt>
                <c:pt idx="83">
                  <c:v>0.88275504893402956</c:v>
                </c:pt>
                <c:pt idx="84">
                  <c:v>1.1302850890477176</c:v>
                </c:pt>
                <c:pt idx="85">
                  <c:v>0.81343888295224354</c:v>
                </c:pt>
                <c:pt idx="86">
                  <c:v>1.0869107199359385</c:v>
                </c:pt>
                <c:pt idx="87">
                  <c:v>0.63202745220070355</c:v>
                </c:pt>
                <c:pt idx="88">
                  <c:v>0.7548778917181258</c:v>
                </c:pt>
                <c:pt idx="89">
                  <c:v>1.0283497287018208</c:v>
                </c:pt>
                <c:pt idx="90">
                  <c:v>1.1194120242596808</c:v>
                </c:pt>
                <c:pt idx="91">
                  <c:v>0.99584842437807852</c:v>
                </c:pt>
                <c:pt idx="92">
                  <c:v>0.72237658739438348</c:v>
                </c:pt>
                <c:pt idx="93">
                  <c:v>0.9370024828338458</c:v>
                </c:pt>
                <c:pt idx="94">
                  <c:v>0.9370024828338458</c:v>
                </c:pt>
                <c:pt idx="95">
                  <c:v>0.82431194774028049</c:v>
                </c:pt>
                <c:pt idx="96">
                  <c:v>1.0392227934898577</c:v>
                </c:pt>
                <c:pt idx="97">
                  <c:v>0.63231240251081844</c:v>
                </c:pt>
                <c:pt idx="98">
                  <c:v>0.85681325206402281</c:v>
                </c:pt>
                <c:pt idx="99">
                  <c:v>1.1194120242596808</c:v>
                </c:pt>
                <c:pt idx="100">
                  <c:v>1.0067214891661154</c:v>
                </c:pt>
                <c:pt idx="101">
                  <c:v>0.76575095650616276</c:v>
                </c:pt>
                <c:pt idx="102">
                  <c:v>0.84594018727598586</c:v>
                </c:pt>
                <c:pt idx="103">
                  <c:v>0.97410229480200461</c:v>
                </c:pt>
                <c:pt idx="104">
                  <c:v>0.99584842437807852</c:v>
                </c:pt>
                <c:pt idx="105">
                  <c:v>1.1194120242596808</c:v>
                </c:pt>
                <c:pt idx="106">
                  <c:v>1.0283497287018208</c:v>
                </c:pt>
                <c:pt idx="107">
                  <c:v>1.0760376551479014</c:v>
                </c:pt>
                <c:pt idx="108">
                  <c:v>0.70174645853297313</c:v>
                </c:pt>
                <c:pt idx="109">
                  <c:v>0.81343888295224354</c:v>
                </c:pt>
                <c:pt idx="110">
                  <c:v>1.0869107199359385</c:v>
                </c:pt>
                <c:pt idx="111">
                  <c:v>1.0174766639137838</c:v>
                </c:pt>
                <c:pt idx="112">
                  <c:v>1.0869107199359385</c:v>
                </c:pt>
                <c:pt idx="113">
                  <c:v>1.1085389594716437</c:v>
                </c:pt>
                <c:pt idx="114">
                  <c:v>1.1194120242596808</c:v>
                </c:pt>
                <c:pt idx="115">
                  <c:v>0.97410229480200461</c:v>
                </c:pt>
                <c:pt idx="116">
                  <c:v>1.0283497287018208</c:v>
                </c:pt>
                <c:pt idx="117">
                  <c:v>0.80256581816420658</c:v>
                </c:pt>
                <c:pt idx="118">
                  <c:v>0.92612941804580884</c:v>
                </c:pt>
                <c:pt idx="119">
                  <c:v>0.93728743314396068</c:v>
                </c:pt>
                <c:pt idx="120">
                  <c:v>0.9370024828338458</c:v>
                </c:pt>
                <c:pt idx="121">
                  <c:v>1.0067214891661154</c:v>
                </c:pt>
                <c:pt idx="122">
                  <c:v>0.80256581816420658</c:v>
                </c:pt>
                <c:pt idx="123">
                  <c:v>0.99584842437807852</c:v>
                </c:pt>
                <c:pt idx="124">
                  <c:v>0.9370024828338458</c:v>
                </c:pt>
                <c:pt idx="125">
                  <c:v>0.76575095650616276</c:v>
                </c:pt>
                <c:pt idx="126">
                  <c:v>0.9370024828338458</c:v>
                </c:pt>
                <c:pt idx="127">
                  <c:v>1.1194120242596808</c:v>
                </c:pt>
                <c:pt idx="128">
                  <c:v>1.0066035991257469</c:v>
                </c:pt>
                <c:pt idx="129">
                  <c:v>0.79280875409083318</c:v>
                </c:pt>
                <c:pt idx="130">
                  <c:v>0.73324965218242044</c:v>
                </c:pt>
                <c:pt idx="131">
                  <c:v>0.84594018727598586</c:v>
                </c:pt>
                <c:pt idx="132">
                  <c:v>0.85681325206402281</c:v>
                </c:pt>
                <c:pt idx="133">
                  <c:v>1.0066035991257469</c:v>
                </c:pt>
                <c:pt idx="134">
                  <c:v>0.8350671224879489</c:v>
                </c:pt>
                <c:pt idx="135">
                  <c:v>0.9370024828338458</c:v>
                </c:pt>
                <c:pt idx="136">
                  <c:v>1.1194120242596808</c:v>
                </c:pt>
                <c:pt idx="137">
                  <c:v>1.1194120242596808</c:v>
                </c:pt>
                <c:pt idx="138">
                  <c:v>0.92612941804580884</c:v>
                </c:pt>
                <c:pt idx="139">
                  <c:v>1.3810126857810439</c:v>
                </c:pt>
                <c:pt idx="140">
                  <c:v>1.1768570147791351</c:v>
                </c:pt>
                <c:pt idx="141">
                  <c:v>0.90478612882021836</c:v>
                </c:pt>
                <c:pt idx="142">
                  <c:v>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FD-434B-83E8-5070986F5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72512"/>
        <c:axId val="418464832"/>
      </c:scatterChart>
      <c:valAx>
        <c:axId val="41847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 code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64832"/>
        <c:crosses val="autoZero"/>
        <c:crossBetween val="midCat"/>
      </c:valAx>
      <c:valAx>
        <c:axId val="418464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Bin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72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Household Size 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Support Bin code</c:v>
          </c:tx>
          <c:spPr>
            <a:ln w="19050">
              <a:noFill/>
            </a:ln>
          </c:spPr>
          <c:xVal>
            <c:numRef>
              <c:f>Codes!$C$2:$C$144</c:f>
              <c:numCache>
                <c:formatCode>General</c:formatCode>
                <c:ptCount val="14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3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3</c:v>
                </c:pt>
              </c:numCache>
            </c:numRef>
          </c:xVal>
          <c:yVal>
            <c:numRef>
              <c:f>Codes!$F$2:$F$144</c:f>
              <c:numCache>
                <c:formatCode>General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20-40A9-B292-47E973153605}"/>
            </c:ext>
          </c:extLst>
        </c:ser>
        <c:ser>
          <c:idx val="1"/>
          <c:order val="1"/>
          <c:tx>
            <c:v>Predicted Support Bin code</c:v>
          </c:tx>
          <c:spPr>
            <a:ln w="19050">
              <a:noFill/>
            </a:ln>
          </c:spPr>
          <c:xVal>
            <c:numRef>
              <c:f>Codes!$C$2:$C$144</c:f>
              <c:numCache>
                <c:formatCode>General</c:formatCode>
                <c:ptCount val="14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3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3</c:v>
                </c:pt>
              </c:numCache>
            </c:numRef>
          </c:xVal>
          <c:yVal>
            <c:numRef>
              <c:f>Regression!$B$28:$B$170</c:f>
              <c:numCache>
                <c:formatCode>General</c:formatCode>
                <c:ptCount val="143"/>
                <c:pt idx="0">
                  <c:v>0.94787554762188275</c:v>
                </c:pt>
                <c:pt idx="1">
                  <c:v>1.1194120242596808</c:v>
                </c:pt>
                <c:pt idx="2">
                  <c:v>0.84594018727598586</c:v>
                </c:pt>
                <c:pt idx="3">
                  <c:v>1.0066035991257469</c:v>
                </c:pt>
                <c:pt idx="4">
                  <c:v>1.0283497287018208</c:v>
                </c:pt>
                <c:pt idx="5">
                  <c:v>1.1085389594716437</c:v>
                </c:pt>
                <c:pt idx="6">
                  <c:v>0.99584842437807852</c:v>
                </c:pt>
                <c:pt idx="7">
                  <c:v>1.0869107199359385</c:v>
                </c:pt>
                <c:pt idx="8">
                  <c:v>0.90450117851010348</c:v>
                </c:pt>
                <c:pt idx="9">
                  <c:v>0.82419405769991194</c:v>
                </c:pt>
                <c:pt idx="10">
                  <c:v>0.93728743314396068</c:v>
                </c:pt>
                <c:pt idx="11">
                  <c:v>1.0869107199359385</c:v>
                </c:pt>
                <c:pt idx="12">
                  <c:v>0.7548778917181258</c:v>
                </c:pt>
                <c:pt idx="13">
                  <c:v>1.0174766639137838</c:v>
                </c:pt>
                <c:pt idx="14">
                  <c:v>1.0283497287018208</c:v>
                </c:pt>
                <c:pt idx="15">
                  <c:v>1.1194120242596808</c:v>
                </c:pt>
                <c:pt idx="16">
                  <c:v>0.72237658739438348</c:v>
                </c:pt>
                <c:pt idx="17">
                  <c:v>0.9370024828338458</c:v>
                </c:pt>
                <c:pt idx="18">
                  <c:v>0.90450117851010348</c:v>
                </c:pt>
                <c:pt idx="19">
                  <c:v>1.0977837847239753</c:v>
                </c:pt>
                <c:pt idx="20">
                  <c:v>1.1085389594716437</c:v>
                </c:pt>
                <c:pt idx="21">
                  <c:v>0.9370024828338458</c:v>
                </c:pt>
                <c:pt idx="22">
                  <c:v>0.9370024828338458</c:v>
                </c:pt>
                <c:pt idx="23">
                  <c:v>0.6211543874126666</c:v>
                </c:pt>
                <c:pt idx="24">
                  <c:v>0.84594018727598586</c:v>
                </c:pt>
                <c:pt idx="25">
                  <c:v>1.0283497287018208</c:v>
                </c:pt>
                <c:pt idx="26">
                  <c:v>1.0283497287018208</c:v>
                </c:pt>
                <c:pt idx="27">
                  <c:v>1.1085389594716437</c:v>
                </c:pt>
                <c:pt idx="28">
                  <c:v>0.90478612882021836</c:v>
                </c:pt>
                <c:pt idx="29">
                  <c:v>1.1509152179091282</c:v>
                </c:pt>
                <c:pt idx="30">
                  <c:v>0.89362811372206652</c:v>
                </c:pt>
                <c:pt idx="31">
                  <c:v>0.78193568930279622</c:v>
                </c:pt>
                <c:pt idx="32">
                  <c:v>0.51933691710713825</c:v>
                </c:pt>
                <c:pt idx="33">
                  <c:v>1.0283497287018208</c:v>
                </c:pt>
                <c:pt idx="34">
                  <c:v>0.84594018727598586</c:v>
                </c:pt>
                <c:pt idx="35">
                  <c:v>0.90450117851010348</c:v>
                </c:pt>
                <c:pt idx="36">
                  <c:v>0.99584842437807852</c:v>
                </c:pt>
                <c:pt idx="37">
                  <c:v>0.71150352260634653</c:v>
                </c:pt>
                <c:pt idx="38">
                  <c:v>0.90478612882021836</c:v>
                </c:pt>
                <c:pt idx="39">
                  <c:v>0.80256581816420658</c:v>
                </c:pt>
                <c:pt idx="40">
                  <c:v>0.85681325206402281</c:v>
                </c:pt>
                <c:pt idx="41">
                  <c:v>0.72237658739438348</c:v>
                </c:pt>
                <c:pt idx="42">
                  <c:v>1.1194120242596808</c:v>
                </c:pt>
                <c:pt idx="43">
                  <c:v>0.8350671224879489</c:v>
                </c:pt>
                <c:pt idx="44">
                  <c:v>0.90450117851010348</c:v>
                </c:pt>
                <c:pt idx="45">
                  <c:v>0.85681325206402281</c:v>
                </c:pt>
                <c:pt idx="46">
                  <c:v>0.92612941804580884</c:v>
                </c:pt>
                <c:pt idx="47">
                  <c:v>0.80256581816420658</c:v>
                </c:pt>
                <c:pt idx="48">
                  <c:v>0.81343888295224354</c:v>
                </c:pt>
                <c:pt idx="49">
                  <c:v>0.90450117851010348</c:v>
                </c:pt>
                <c:pt idx="50">
                  <c:v>1.1085389594716437</c:v>
                </c:pt>
                <c:pt idx="51">
                  <c:v>0.74400482693008885</c:v>
                </c:pt>
                <c:pt idx="52">
                  <c:v>1.0283497287018208</c:v>
                </c:pt>
                <c:pt idx="53">
                  <c:v>1.0283497287018208</c:v>
                </c:pt>
                <c:pt idx="54">
                  <c:v>0.72237658739438348</c:v>
                </c:pt>
                <c:pt idx="55">
                  <c:v>0.59952614787696124</c:v>
                </c:pt>
                <c:pt idx="56">
                  <c:v>0.9370024828338458</c:v>
                </c:pt>
                <c:pt idx="57">
                  <c:v>0.81343888295224354</c:v>
                </c:pt>
                <c:pt idx="58">
                  <c:v>1.0651645903598645</c:v>
                </c:pt>
                <c:pt idx="59">
                  <c:v>0.81343888295224354</c:v>
                </c:pt>
                <c:pt idx="60">
                  <c:v>0.90450117851010348</c:v>
                </c:pt>
                <c:pt idx="61">
                  <c:v>0.81343888295224354</c:v>
                </c:pt>
                <c:pt idx="62">
                  <c:v>1.0283497287018208</c:v>
                </c:pt>
                <c:pt idx="63">
                  <c:v>0.91537424329814043</c:v>
                </c:pt>
                <c:pt idx="64">
                  <c:v>1.1771419650892498</c:v>
                </c:pt>
                <c:pt idx="65">
                  <c:v>0.82431194774028049</c:v>
                </c:pt>
                <c:pt idx="66">
                  <c:v>0.69087339374493617</c:v>
                </c:pt>
                <c:pt idx="67">
                  <c:v>0.9370024828338458</c:v>
                </c:pt>
                <c:pt idx="68">
                  <c:v>0.97410229480200461</c:v>
                </c:pt>
                <c:pt idx="69">
                  <c:v>1.0651645903598645</c:v>
                </c:pt>
                <c:pt idx="70">
                  <c:v>1.1085389594716437</c:v>
                </c:pt>
                <c:pt idx="71">
                  <c:v>1.0067214891661154</c:v>
                </c:pt>
                <c:pt idx="72">
                  <c:v>0.99584842437807852</c:v>
                </c:pt>
                <c:pt idx="73">
                  <c:v>0.81343888295224354</c:v>
                </c:pt>
                <c:pt idx="74">
                  <c:v>0.91537424329814043</c:v>
                </c:pt>
                <c:pt idx="75">
                  <c:v>0.84594018727598586</c:v>
                </c:pt>
                <c:pt idx="76">
                  <c:v>0.72237658739438348</c:v>
                </c:pt>
                <c:pt idx="77">
                  <c:v>0.99584842437807852</c:v>
                </c:pt>
                <c:pt idx="78">
                  <c:v>1.1302850890477176</c:v>
                </c:pt>
                <c:pt idx="79">
                  <c:v>1.0977837847239753</c:v>
                </c:pt>
                <c:pt idx="80">
                  <c:v>0.98497535959004145</c:v>
                </c:pt>
                <c:pt idx="81">
                  <c:v>1.0857947192212751</c:v>
                </c:pt>
                <c:pt idx="82">
                  <c:v>1.0066035991257469</c:v>
                </c:pt>
                <c:pt idx="83">
                  <c:v>0.88275504893402956</c:v>
                </c:pt>
                <c:pt idx="84">
                  <c:v>1.1302850890477176</c:v>
                </c:pt>
                <c:pt idx="85">
                  <c:v>0.81343888295224354</c:v>
                </c:pt>
                <c:pt idx="86">
                  <c:v>1.0869107199359385</c:v>
                </c:pt>
                <c:pt idx="87">
                  <c:v>0.63202745220070355</c:v>
                </c:pt>
                <c:pt idx="88">
                  <c:v>0.7548778917181258</c:v>
                </c:pt>
                <c:pt idx="89">
                  <c:v>1.0283497287018208</c:v>
                </c:pt>
                <c:pt idx="90">
                  <c:v>1.1194120242596808</c:v>
                </c:pt>
                <c:pt idx="91">
                  <c:v>0.99584842437807852</c:v>
                </c:pt>
                <c:pt idx="92">
                  <c:v>0.72237658739438348</c:v>
                </c:pt>
                <c:pt idx="93">
                  <c:v>0.9370024828338458</c:v>
                </c:pt>
                <c:pt idx="94">
                  <c:v>0.9370024828338458</c:v>
                </c:pt>
                <c:pt idx="95">
                  <c:v>0.82431194774028049</c:v>
                </c:pt>
                <c:pt idx="96">
                  <c:v>1.0392227934898577</c:v>
                </c:pt>
                <c:pt idx="97">
                  <c:v>0.63231240251081844</c:v>
                </c:pt>
                <c:pt idx="98">
                  <c:v>0.85681325206402281</c:v>
                </c:pt>
                <c:pt idx="99">
                  <c:v>1.1194120242596808</c:v>
                </c:pt>
                <c:pt idx="100">
                  <c:v>1.0067214891661154</c:v>
                </c:pt>
                <c:pt idx="101">
                  <c:v>0.76575095650616276</c:v>
                </c:pt>
                <c:pt idx="102">
                  <c:v>0.84594018727598586</c:v>
                </c:pt>
                <c:pt idx="103">
                  <c:v>0.97410229480200461</c:v>
                </c:pt>
                <c:pt idx="104">
                  <c:v>0.99584842437807852</c:v>
                </c:pt>
                <c:pt idx="105">
                  <c:v>1.1194120242596808</c:v>
                </c:pt>
                <c:pt idx="106">
                  <c:v>1.0283497287018208</c:v>
                </c:pt>
                <c:pt idx="107">
                  <c:v>1.0760376551479014</c:v>
                </c:pt>
                <c:pt idx="108">
                  <c:v>0.70174645853297313</c:v>
                </c:pt>
                <c:pt idx="109">
                  <c:v>0.81343888295224354</c:v>
                </c:pt>
                <c:pt idx="110">
                  <c:v>1.0869107199359385</c:v>
                </c:pt>
                <c:pt idx="111">
                  <c:v>1.0174766639137838</c:v>
                </c:pt>
                <c:pt idx="112">
                  <c:v>1.0869107199359385</c:v>
                </c:pt>
                <c:pt idx="113">
                  <c:v>1.1085389594716437</c:v>
                </c:pt>
                <c:pt idx="114">
                  <c:v>1.1194120242596808</c:v>
                </c:pt>
                <c:pt idx="115">
                  <c:v>0.97410229480200461</c:v>
                </c:pt>
                <c:pt idx="116">
                  <c:v>1.0283497287018208</c:v>
                </c:pt>
                <c:pt idx="117">
                  <c:v>0.80256581816420658</c:v>
                </c:pt>
                <c:pt idx="118">
                  <c:v>0.92612941804580884</c:v>
                </c:pt>
                <c:pt idx="119">
                  <c:v>0.93728743314396068</c:v>
                </c:pt>
                <c:pt idx="120">
                  <c:v>0.9370024828338458</c:v>
                </c:pt>
                <c:pt idx="121">
                  <c:v>1.0067214891661154</c:v>
                </c:pt>
                <c:pt idx="122">
                  <c:v>0.80256581816420658</c:v>
                </c:pt>
                <c:pt idx="123">
                  <c:v>0.99584842437807852</c:v>
                </c:pt>
                <c:pt idx="124">
                  <c:v>0.9370024828338458</c:v>
                </c:pt>
                <c:pt idx="125">
                  <c:v>0.76575095650616276</c:v>
                </c:pt>
                <c:pt idx="126">
                  <c:v>0.9370024828338458</c:v>
                </c:pt>
                <c:pt idx="127">
                  <c:v>1.1194120242596808</c:v>
                </c:pt>
                <c:pt idx="128">
                  <c:v>1.0066035991257469</c:v>
                </c:pt>
                <c:pt idx="129">
                  <c:v>0.79280875409083318</c:v>
                </c:pt>
                <c:pt idx="130">
                  <c:v>0.73324965218242044</c:v>
                </c:pt>
                <c:pt idx="131">
                  <c:v>0.84594018727598586</c:v>
                </c:pt>
                <c:pt idx="132">
                  <c:v>0.85681325206402281</c:v>
                </c:pt>
                <c:pt idx="133">
                  <c:v>1.0066035991257469</c:v>
                </c:pt>
                <c:pt idx="134">
                  <c:v>0.8350671224879489</c:v>
                </c:pt>
                <c:pt idx="135">
                  <c:v>0.9370024828338458</c:v>
                </c:pt>
                <c:pt idx="136">
                  <c:v>1.1194120242596808</c:v>
                </c:pt>
                <c:pt idx="137">
                  <c:v>1.1194120242596808</c:v>
                </c:pt>
                <c:pt idx="138">
                  <c:v>0.92612941804580884</c:v>
                </c:pt>
                <c:pt idx="139">
                  <c:v>1.3810126857810439</c:v>
                </c:pt>
                <c:pt idx="140">
                  <c:v>1.1768570147791351</c:v>
                </c:pt>
                <c:pt idx="141">
                  <c:v>0.90478612882021836</c:v>
                </c:pt>
                <c:pt idx="142">
                  <c:v>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20-40A9-B292-47E973153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76352"/>
        <c:axId val="418480192"/>
      </c:scatterChart>
      <c:valAx>
        <c:axId val="41847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Household Size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80192"/>
        <c:crosses val="autoZero"/>
        <c:crossBetween val="midCat"/>
      </c:valAx>
      <c:valAx>
        <c:axId val="418480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Bin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76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Waste_Code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Support Bin code</c:v>
          </c:tx>
          <c:spPr>
            <a:ln w="19050">
              <a:noFill/>
            </a:ln>
          </c:spPr>
          <c:xVal>
            <c:numRef>
              <c:f>Codes!$D$2:$D$144</c:f>
              <c:numCache>
                <c:formatCode>General</c:formatCode>
                <c:ptCount val="143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4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3</c:v>
                </c:pt>
                <c:pt idx="112">
                  <c:v>2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4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4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4</c:v>
                </c:pt>
                <c:pt idx="141">
                  <c:v>2</c:v>
                </c:pt>
                <c:pt idx="142">
                  <c:v>2</c:v>
                </c:pt>
              </c:numCache>
            </c:numRef>
          </c:xVal>
          <c:yVal>
            <c:numRef>
              <c:f>Codes!$F$2:$F$144</c:f>
              <c:numCache>
                <c:formatCode>General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DC-4239-9812-82360D685FC8}"/>
            </c:ext>
          </c:extLst>
        </c:ser>
        <c:ser>
          <c:idx val="1"/>
          <c:order val="1"/>
          <c:tx>
            <c:v>Predicted Support Bin code</c:v>
          </c:tx>
          <c:spPr>
            <a:ln w="19050">
              <a:noFill/>
            </a:ln>
          </c:spPr>
          <c:xVal>
            <c:numRef>
              <c:f>Codes!$D$2:$D$144</c:f>
              <c:numCache>
                <c:formatCode>General</c:formatCode>
                <c:ptCount val="143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4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3</c:v>
                </c:pt>
                <c:pt idx="112">
                  <c:v>2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4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4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4</c:v>
                </c:pt>
                <c:pt idx="141">
                  <c:v>2</c:v>
                </c:pt>
                <c:pt idx="142">
                  <c:v>2</c:v>
                </c:pt>
              </c:numCache>
            </c:numRef>
          </c:xVal>
          <c:yVal>
            <c:numRef>
              <c:f>Regression!$B$28:$B$170</c:f>
              <c:numCache>
                <c:formatCode>General</c:formatCode>
                <c:ptCount val="143"/>
                <c:pt idx="0">
                  <c:v>0.94787554762188275</c:v>
                </c:pt>
                <c:pt idx="1">
                  <c:v>1.1194120242596808</c:v>
                </c:pt>
                <c:pt idx="2">
                  <c:v>0.84594018727598586</c:v>
                </c:pt>
                <c:pt idx="3">
                  <c:v>1.0066035991257469</c:v>
                </c:pt>
                <c:pt idx="4">
                  <c:v>1.0283497287018208</c:v>
                </c:pt>
                <c:pt idx="5">
                  <c:v>1.1085389594716437</c:v>
                </c:pt>
                <c:pt idx="6">
                  <c:v>0.99584842437807852</c:v>
                </c:pt>
                <c:pt idx="7">
                  <c:v>1.0869107199359385</c:v>
                </c:pt>
                <c:pt idx="8">
                  <c:v>0.90450117851010348</c:v>
                </c:pt>
                <c:pt idx="9">
                  <c:v>0.82419405769991194</c:v>
                </c:pt>
                <c:pt idx="10">
                  <c:v>0.93728743314396068</c:v>
                </c:pt>
                <c:pt idx="11">
                  <c:v>1.0869107199359385</c:v>
                </c:pt>
                <c:pt idx="12">
                  <c:v>0.7548778917181258</c:v>
                </c:pt>
                <c:pt idx="13">
                  <c:v>1.0174766639137838</c:v>
                </c:pt>
                <c:pt idx="14">
                  <c:v>1.0283497287018208</c:v>
                </c:pt>
                <c:pt idx="15">
                  <c:v>1.1194120242596808</c:v>
                </c:pt>
                <c:pt idx="16">
                  <c:v>0.72237658739438348</c:v>
                </c:pt>
                <c:pt idx="17">
                  <c:v>0.9370024828338458</c:v>
                </c:pt>
                <c:pt idx="18">
                  <c:v>0.90450117851010348</c:v>
                </c:pt>
                <c:pt idx="19">
                  <c:v>1.0977837847239753</c:v>
                </c:pt>
                <c:pt idx="20">
                  <c:v>1.1085389594716437</c:v>
                </c:pt>
                <c:pt idx="21">
                  <c:v>0.9370024828338458</c:v>
                </c:pt>
                <c:pt idx="22">
                  <c:v>0.9370024828338458</c:v>
                </c:pt>
                <c:pt idx="23">
                  <c:v>0.6211543874126666</c:v>
                </c:pt>
                <c:pt idx="24">
                  <c:v>0.84594018727598586</c:v>
                </c:pt>
                <c:pt idx="25">
                  <c:v>1.0283497287018208</c:v>
                </c:pt>
                <c:pt idx="26">
                  <c:v>1.0283497287018208</c:v>
                </c:pt>
                <c:pt idx="27">
                  <c:v>1.1085389594716437</c:v>
                </c:pt>
                <c:pt idx="28">
                  <c:v>0.90478612882021836</c:v>
                </c:pt>
                <c:pt idx="29">
                  <c:v>1.1509152179091282</c:v>
                </c:pt>
                <c:pt idx="30">
                  <c:v>0.89362811372206652</c:v>
                </c:pt>
                <c:pt idx="31">
                  <c:v>0.78193568930279622</c:v>
                </c:pt>
                <c:pt idx="32">
                  <c:v>0.51933691710713825</c:v>
                </c:pt>
                <c:pt idx="33">
                  <c:v>1.0283497287018208</c:v>
                </c:pt>
                <c:pt idx="34">
                  <c:v>0.84594018727598586</c:v>
                </c:pt>
                <c:pt idx="35">
                  <c:v>0.90450117851010348</c:v>
                </c:pt>
                <c:pt idx="36">
                  <c:v>0.99584842437807852</c:v>
                </c:pt>
                <c:pt idx="37">
                  <c:v>0.71150352260634653</c:v>
                </c:pt>
                <c:pt idx="38">
                  <c:v>0.90478612882021836</c:v>
                </c:pt>
                <c:pt idx="39">
                  <c:v>0.80256581816420658</c:v>
                </c:pt>
                <c:pt idx="40">
                  <c:v>0.85681325206402281</c:v>
                </c:pt>
                <c:pt idx="41">
                  <c:v>0.72237658739438348</c:v>
                </c:pt>
                <c:pt idx="42">
                  <c:v>1.1194120242596808</c:v>
                </c:pt>
                <c:pt idx="43">
                  <c:v>0.8350671224879489</c:v>
                </c:pt>
                <c:pt idx="44">
                  <c:v>0.90450117851010348</c:v>
                </c:pt>
                <c:pt idx="45">
                  <c:v>0.85681325206402281</c:v>
                </c:pt>
                <c:pt idx="46">
                  <c:v>0.92612941804580884</c:v>
                </c:pt>
                <c:pt idx="47">
                  <c:v>0.80256581816420658</c:v>
                </c:pt>
                <c:pt idx="48">
                  <c:v>0.81343888295224354</c:v>
                </c:pt>
                <c:pt idx="49">
                  <c:v>0.90450117851010348</c:v>
                </c:pt>
                <c:pt idx="50">
                  <c:v>1.1085389594716437</c:v>
                </c:pt>
                <c:pt idx="51">
                  <c:v>0.74400482693008885</c:v>
                </c:pt>
                <c:pt idx="52">
                  <c:v>1.0283497287018208</c:v>
                </c:pt>
                <c:pt idx="53">
                  <c:v>1.0283497287018208</c:v>
                </c:pt>
                <c:pt idx="54">
                  <c:v>0.72237658739438348</c:v>
                </c:pt>
                <c:pt idx="55">
                  <c:v>0.59952614787696124</c:v>
                </c:pt>
                <c:pt idx="56">
                  <c:v>0.9370024828338458</c:v>
                </c:pt>
                <c:pt idx="57">
                  <c:v>0.81343888295224354</c:v>
                </c:pt>
                <c:pt idx="58">
                  <c:v>1.0651645903598645</c:v>
                </c:pt>
                <c:pt idx="59">
                  <c:v>0.81343888295224354</c:v>
                </c:pt>
                <c:pt idx="60">
                  <c:v>0.90450117851010348</c:v>
                </c:pt>
                <c:pt idx="61">
                  <c:v>0.81343888295224354</c:v>
                </c:pt>
                <c:pt idx="62">
                  <c:v>1.0283497287018208</c:v>
                </c:pt>
                <c:pt idx="63">
                  <c:v>0.91537424329814043</c:v>
                </c:pt>
                <c:pt idx="64">
                  <c:v>1.1771419650892498</c:v>
                </c:pt>
                <c:pt idx="65">
                  <c:v>0.82431194774028049</c:v>
                </c:pt>
                <c:pt idx="66">
                  <c:v>0.69087339374493617</c:v>
                </c:pt>
                <c:pt idx="67">
                  <c:v>0.9370024828338458</c:v>
                </c:pt>
                <c:pt idx="68">
                  <c:v>0.97410229480200461</c:v>
                </c:pt>
                <c:pt idx="69">
                  <c:v>1.0651645903598645</c:v>
                </c:pt>
                <c:pt idx="70">
                  <c:v>1.1085389594716437</c:v>
                </c:pt>
                <c:pt idx="71">
                  <c:v>1.0067214891661154</c:v>
                </c:pt>
                <c:pt idx="72">
                  <c:v>0.99584842437807852</c:v>
                </c:pt>
                <c:pt idx="73">
                  <c:v>0.81343888295224354</c:v>
                </c:pt>
                <c:pt idx="74">
                  <c:v>0.91537424329814043</c:v>
                </c:pt>
                <c:pt idx="75">
                  <c:v>0.84594018727598586</c:v>
                </c:pt>
                <c:pt idx="76">
                  <c:v>0.72237658739438348</c:v>
                </c:pt>
                <c:pt idx="77">
                  <c:v>0.99584842437807852</c:v>
                </c:pt>
                <c:pt idx="78">
                  <c:v>1.1302850890477176</c:v>
                </c:pt>
                <c:pt idx="79">
                  <c:v>1.0977837847239753</c:v>
                </c:pt>
                <c:pt idx="80">
                  <c:v>0.98497535959004145</c:v>
                </c:pt>
                <c:pt idx="81">
                  <c:v>1.0857947192212751</c:v>
                </c:pt>
                <c:pt idx="82">
                  <c:v>1.0066035991257469</c:v>
                </c:pt>
                <c:pt idx="83">
                  <c:v>0.88275504893402956</c:v>
                </c:pt>
                <c:pt idx="84">
                  <c:v>1.1302850890477176</c:v>
                </c:pt>
                <c:pt idx="85">
                  <c:v>0.81343888295224354</c:v>
                </c:pt>
                <c:pt idx="86">
                  <c:v>1.0869107199359385</c:v>
                </c:pt>
                <c:pt idx="87">
                  <c:v>0.63202745220070355</c:v>
                </c:pt>
                <c:pt idx="88">
                  <c:v>0.7548778917181258</c:v>
                </c:pt>
                <c:pt idx="89">
                  <c:v>1.0283497287018208</c:v>
                </c:pt>
                <c:pt idx="90">
                  <c:v>1.1194120242596808</c:v>
                </c:pt>
                <c:pt idx="91">
                  <c:v>0.99584842437807852</c:v>
                </c:pt>
                <c:pt idx="92">
                  <c:v>0.72237658739438348</c:v>
                </c:pt>
                <c:pt idx="93">
                  <c:v>0.9370024828338458</c:v>
                </c:pt>
                <c:pt idx="94">
                  <c:v>0.9370024828338458</c:v>
                </c:pt>
                <c:pt idx="95">
                  <c:v>0.82431194774028049</c:v>
                </c:pt>
                <c:pt idx="96">
                  <c:v>1.0392227934898577</c:v>
                </c:pt>
                <c:pt idx="97">
                  <c:v>0.63231240251081844</c:v>
                </c:pt>
                <c:pt idx="98">
                  <c:v>0.85681325206402281</c:v>
                </c:pt>
                <c:pt idx="99">
                  <c:v>1.1194120242596808</c:v>
                </c:pt>
                <c:pt idx="100">
                  <c:v>1.0067214891661154</c:v>
                </c:pt>
                <c:pt idx="101">
                  <c:v>0.76575095650616276</c:v>
                </c:pt>
                <c:pt idx="102">
                  <c:v>0.84594018727598586</c:v>
                </c:pt>
                <c:pt idx="103">
                  <c:v>0.97410229480200461</c:v>
                </c:pt>
                <c:pt idx="104">
                  <c:v>0.99584842437807852</c:v>
                </c:pt>
                <c:pt idx="105">
                  <c:v>1.1194120242596808</c:v>
                </c:pt>
                <c:pt idx="106">
                  <c:v>1.0283497287018208</c:v>
                </c:pt>
                <c:pt idx="107">
                  <c:v>1.0760376551479014</c:v>
                </c:pt>
                <c:pt idx="108">
                  <c:v>0.70174645853297313</c:v>
                </c:pt>
                <c:pt idx="109">
                  <c:v>0.81343888295224354</c:v>
                </c:pt>
                <c:pt idx="110">
                  <c:v>1.0869107199359385</c:v>
                </c:pt>
                <c:pt idx="111">
                  <c:v>1.0174766639137838</c:v>
                </c:pt>
                <c:pt idx="112">
                  <c:v>1.0869107199359385</c:v>
                </c:pt>
                <c:pt idx="113">
                  <c:v>1.1085389594716437</c:v>
                </c:pt>
                <c:pt idx="114">
                  <c:v>1.1194120242596808</c:v>
                </c:pt>
                <c:pt idx="115">
                  <c:v>0.97410229480200461</c:v>
                </c:pt>
                <c:pt idx="116">
                  <c:v>1.0283497287018208</c:v>
                </c:pt>
                <c:pt idx="117">
                  <c:v>0.80256581816420658</c:v>
                </c:pt>
                <c:pt idx="118">
                  <c:v>0.92612941804580884</c:v>
                </c:pt>
                <c:pt idx="119">
                  <c:v>0.93728743314396068</c:v>
                </c:pt>
                <c:pt idx="120">
                  <c:v>0.9370024828338458</c:v>
                </c:pt>
                <c:pt idx="121">
                  <c:v>1.0067214891661154</c:v>
                </c:pt>
                <c:pt idx="122">
                  <c:v>0.80256581816420658</c:v>
                </c:pt>
                <c:pt idx="123">
                  <c:v>0.99584842437807852</c:v>
                </c:pt>
                <c:pt idx="124">
                  <c:v>0.9370024828338458</c:v>
                </c:pt>
                <c:pt idx="125">
                  <c:v>0.76575095650616276</c:v>
                </c:pt>
                <c:pt idx="126">
                  <c:v>0.9370024828338458</c:v>
                </c:pt>
                <c:pt idx="127">
                  <c:v>1.1194120242596808</c:v>
                </c:pt>
                <c:pt idx="128">
                  <c:v>1.0066035991257469</c:v>
                </c:pt>
                <c:pt idx="129">
                  <c:v>0.79280875409083318</c:v>
                </c:pt>
                <c:pt idx="130">
                  <c:v>0.73324965218242044</c:v>
                </c:pt>
                <c:pt idx="131">
                  <c:v>0.84594018727598586</c:v>
                </c:pt>
                <c:pt idx="132">
                  <c:v>0.85681325206402281</c:v>
                </c:pt>
                <c:pt idx="133">
                  <c:v>1.0066035991257469</c:v>
                </c:pt>
                <c:pt idx="134">
                  <c:v>0.8350671224879489</c:v>
                </c:pt>
                <c:pt idx="135">
                  <c:v>0.9370024828338458</c:v>
                </c:pt>
                <c:pt idx="136">
                  <c:v>1.1194120242596808</c:v>
                </c:pt>
                <c:pt idx="137">
                  <c:v>1.1194120242596808</c:v>
                </c:pt>
                <c:pt idx="138">
                  <c:v>0.92612941804580884</c:v>
                </c:pt>
                <c:pt idx="139">
                  <c:v>1.3810126857810439</c:v>
                </c:pt>
                <c:pt idx="140">
                  <c:v>1.1768570147791351</c:v>
                </c:pt>
                <c:pt idx="141">
                  <c:v>0.90478612882021836</c:v>
                </c:pt>
                <c:pt idx="142">
                  <c:v>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DC-4239-9812-82360D68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72512"/>
        <c:axId val="418484032"/>
      </c:scatterChart>
      <c:valAx>
        <c:axId val="41847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Waste_Code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84032"/>
        <c:crosses val="autoZero"/>
        <c:crossBetween val="midCat"/>
      </c:valAx>
      <c:valAx>
        <c:axId val="418484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Bin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72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Aware of ai 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Support Bin code</c:v>
          </c:tx>
          <c:spPr>
            <a:ln w="19050">
              <a:noFill/>
            </a:ln>
          </c:spPr>
          <c:xVal>
            <c:numRef>
              <c:f>Codes!$E$2:$E$144</c:f>
              <c:numCache>
                <c:formatCode>General</c:formatCode>
                <c:ptCount val="14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</c:numCache>
            </c:numRef>
          </c:xVal>
          <c:yVal>
            <c:numRef>
              <c:f>Codes!$F$2:$F$144</c:f>
              <c:numCache>
                <c:formatCode>General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41-4088-9C3F-48ADA0517843}"/>
            </c:ext>
          </c:extLst>
        </c:ser>
        <c:ser>
          <c:idx val="1"/>
          <c:order val="1"/>
          <c:tx>
            <c:v>Predicted Support Bin code</c:v>
          </c:tx>
          <c:spPr>
            <a:ln w="19050">
              <a:noFill/>
            </a:ln>
          </c:spPr>
          <c:xVal>
            <c:numRef>
              <c:f>Codes!$E$2:$E$144</c:f>
              <c:numCache>
                <c:formatCode>General</c:formatCode>
                <c:ptCount val="14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</c:numCache>
            </c:numRef>
          </c:xVal>
          <c:yVal>
            <c:numRef>
              <c:f>Regression!$B$28:$B$170</c:f>
              <c:numCache>
                <c:formatCode>General</c:formatCode>
                <c:ptCount val="143"/>
                <c:pt idx="0">
                  <c:v>0.94787554762188275</c:v>
                </c:pt>
                <c:pt idx="1">
                  <c:v>1.1194120242596808</c:v>
                </c:pt>
                <c:pt idx="2">
                  <c:v>0.84594018727598586</c:v>
                </c:pt>
                <c:pt idx="3">
                  <c:v>1.0066035991257469</c:v>
                </c:pt>
                <c:pt idx="4">
                  <c:v>1.0283497287018208</c:v>
                </c:pt>
                <c:pt idx="5">
                  <c:v>1.1085389594716437</c:v>
                </c:pt>
                <c:pt idx="6">
                  <c:v>0.99584842437807852</c:v>
                </c:pt>
                <c:pt idx="7">
                  <c:v>1.0869107199359385</c:v>
                </c:pt>
                <c:pt idx="8">
                  <c:v>0.90450117851010348</c:v>
                </c:pt>
                <c:pt idx="9">
                  <c:v>0.82419405769991194</c:v>
                </c:pt>
                <c:pt idx="10">
                  <c:v>0.93728743314396068</c:v>
                </c:pt>
                <c:pt idx="11">
                  <c:v>1.0869107199359385</c:v>
                </c:pt>
                <c:pt idx="12">
                  <c:v>0.7548778917181258</c:v>
                </c:pt>
                <c:pt idx="13">
                  <c:v>1.0174766639137838</c:v>
                </c:pt>
                <c:pt idx="14">
                  <c:v>1.0283497287018208</c:v>
                </c:pt>
                <c:pt idx="15">
                  <c:v>1.1194120242596808</c:v>
                </c:pt>
                <c:pt idx="16">
                  <c:v>0.72237658739438348</c:v>
                </c:pt>
                <c:pt idx="17">
                  <c:v>0.9370024828338458</c:v>
                </c:pt>
                <c:pt idx="18">
                  <c:v>0.90450117851010348</c:v>
                </c:pt>
                <c:pt idx="19">
                  <c:v>1.0977837847239753</c:v>
                </c:pt>
                <c:pt idx="20">
                  <c:v>1.1085389594716437</c:v>
                </c:pt>
                <c:pt idx="21">
                  <c:v>0.9370024828338458</c:v>
                </c:pt>
                <c:pt idx="22">
                  <c:v>0.9370024828338458</c:v>
                </c:pt>
                <c:pt idx="23">
                  <c:v>0.6211543874126666</c:v>
                </c:pt>
                <c:pt idx="24">
                  <c:v>0.84594018727598586</c:v>
                </c:pt>
                <c:pt idx="25">
                  <c:v>1.0283497287018208</c:v>
                </c:pt>
                <c:pt idx="26">
                  <c:v>1.0283497287018208</c:v>
                </c:pt>
                <c:pt idx="27">
                  <c:v>1.1085389594716437</c:v>
                </c:pt>
                <c:pt idx="28">
                  <c:v>0.90478612882021836</c:v>
                </c:pt>
                <c:pt idx="29">
                  <c:v>1.1509152179091282</c:v>
                </c:pt>
                <c:pt idx="30">
                  <c:v>0.89362811372206652</c:v>
                </c:pt>
                <c:pt idx="31">
                  <c:v>0.78193568930279622</c:v>
                </c:pt>
                <c:pt idx="32">
                  <c:v>0.51933691710713825</c:v>
                </c:pt>
                <c:pt idx="33">
                  <c:v>1.0283497287018208</c:v>
                </c:pt>
                <c:pt idx="34">
                  <c:v>0.84594018727598586</c:v>
                </c:pt>
                <c:pt idx="35">
                  <c:v>0.90450117851010348</c:v>
                </c:pt>
                <c:pt idx="36">
                  <c:v>0.99584842437807852</c:v>
                </c:pt>
                <c:pt idx="37">
                  <c:v>0.71150352260634653</c:v>
                </c:pt>
                <c:pt idx="38">
                  <c:v>0.90478612882021836</c:v>
                </c:pt>
                <c:pt idx="39">
                  <c:v>0.80256581816420658</c:v>
                </c:pt>
                <c:pt idx="40">
                  <c:v>0.85681325206402281</c:v>
                </c:pt>
                <c:pt idx="41">
                  <c:v>0.72237658739438348</c:v>
                </c:pt>
                <c:pt idx="42">
                  <c:v>1.1194120242596808</c:v>
                </c:pt>
                <c:pt idx="43">
                  <c:v>0.8350671224879489</c:v>
                </c:pt>
                <c:pt idx="44">
                  <c:v>0.90450117851010348</c:v>
                </c:pt>
                <c:pt idx="45">
                  <c:v>0.85681325206402281</c:v>
                </c:pt>
                <c:pt idx="46">
                  <c:v>0.92612941804580884</c:v>
                </c:pt>
                <c:pt idx="47">
                  <c:v>0.80256581816420658</c:v>
                </c:pt>
                <c:pt idx="48">
                  <c:v>0.81343888295224354</c:v>
                </c:pt>
                <c:pt idx="49">
                  <c:v>0.90450117851010348</c:v>
                </c:pt>
                <c:pt idx="50">
                  <c:v>1.1085389594716437</c:v>
                </c:pt>
                <c:pt idx="51">
                  <c:v>0.74400482693008885</c:v>
                </c:pt>
                <c:pt idx="52">
                  <c:v>1.0283497287018208</c:v>
                </c:pt>
                <c:pt idx="53">
                  <c:v>1.0283497287018208</c:v>
                </c:pt>
                <c:pt idx="54">
                  <c:v>0.72237658739438348</c:v>
                </c:pt>
                <c:pt idx="55">
                  <c:v>0.59952614787696124</c:v>
                </c:pt>
                <c:pt idx="56">
                  <c:v>0.9370024828338458</c:v>
                </c:pt>
                <c:pt idx="57">
                  <c:v>0.81343888295224354</c:v>
                </c:pt>
                <c:pt idx="58">
                  <c:v>1.0651645903598645</c:v>
                </c:pt>
                <c:pt idx="59">
                  <c:v>0.81343888295224354</c:v>
                </c:pt>
                <c:pt idx="60">
                  <c:v>0.90450117851010348</c:v>
                </c:pt>
                <c:pt idx="61">
                  <c:v>0.81343888295224354</c:v>
                </c:pt>
                <c:pt idx="62">
                  <c:v>1.0283497287018208</c:v>
                </c:pt>
                <c:pt idx="63">
                  <c:v>0.91537424329814043</c:v>
                </c:pt>
                <c:pt idx="64">
                  <c:v>1.1771419650892498</c:v>
                </c:pt>
                <c:pt idx="65">
                  <c:v>0.82431194774028049</c:v>
                </c:pt>
                <c:pt idx="66">
                  <c:v>0.69087339374493617</c:v>
                </c:pt>
                <c:pt idx="67">
                  <c:v>0.9370024828338458</c:v>
                </c:pt>
                <c:pt idx="68">
                  <c:v>0.97410229480200461</c:v>
                </c:pt>
                <c:pt idx="69">
                  <c:v>1.0651645903598645</c:v>
                </c:pt>
                <c:pt idx="70">
                  <c:v>1.1085389594716437</c:v>
                </c:pt>
                <c:pt idx="71">
                  <c:v>1.0067214891661154</c:v>
                </c:pt>
                <c:pt idx="72">
                  <c:v>0.99584842437807852</c:v>
                </c:pt>
                <c:pt idx="73">
                  <c:v>0.81343888295224354</c:v>
                </c:pt>
                <c:pt idx="74">
                  <c:v>0.91537424329814043</c:v>
                </c:pt>
                <c:pt idx="75">
                  <c:v>0.84594018727598586</c:v>
                </c:pt>
                <c:pt idx="76">
                  <c:v>0.72237658739438348</c:v>
                </c:pt>
                <c:pt idx="77">
                  <c:v>0.99584842437807852</c:v>
                </c:pt>
                <c:pt idx="78">
                  <c:v>1.1302850890477176</c:v>
                </c:pt>
                <c:pt idx="79">
                  <c:v>1.0977837847239753</c:v>
                </c:pt>
                <c:pt idx="80">
                  <c:v>0.98497535959004145</c:v>
                </c:pt>
                <c:pt idx="81">
                  <c:v>1.0857947192212751</c:v>
                </c:pt>
                <c:pt idx="82">
                  <c:v>1.0066035991257469</c:v>
                </c:pt>
                <c:pt idx="83">
                  <c:v>0.88275504893402956</c:v>
                </c:pt>
                <c:pt idx="84">
                  <c:v>1.1302850890477176</c:v>
                </c:pt>
                <c:pt idx="85">
                  <c:v>0.81343888295224354</c:v>
                </c:pt>
                <c:pt idx="86">
                  <c:v>1.0869107199359385</c:v>
                </c:pt>
                <c:pt idx="87">
                  <c:v>0.63202745220070355</c:v>
                </c:pt>
                <c:pt idx="88">
                  <c:v>0.7548778917181258</c:v>
                </c:pt>
                <c:pt idx="89">
                  <c:v>1.0283497287018208</c:v>
                </c:pt>
                <c:pt idx="90">
                  <c:v>1.1194120242596808</c:v>
                </c:pt>
                <c:pt idx="91">
                  <c:v>0.99584842437807852</c:v>
                </c:pt>
                <c:pt idx="92">
                  <c:v>0.72237658739438348</c:v>
                </c:pt>
                <c:pt idx="93">
                  <c:v>0.9370024828338458</c:v>
                </c:pt>
                <c:pt idx="94">
                  <c:v>0.9370024828338458</c:v>
                </c:pt>
                <c:pt idx="95">
                  <c:v>0.82431194774028049</c:v>
                </c:pt>
                <c:pt idx="96">
                  <c:v>1.0392227934898577</c:v>
                </c:pt>
                <c:pt idx="97">
                  <c:v>0.63231240251081844</c:v>
                </c:pt>
                <c:pt idx="98">
                  <c:v>0.85681325206402281</c:v>
                </c:pt>
                <c:pt idx="99">
                  <c:v>1.1194120242596808</c:v>
                </c:pt>
                <c:pt idx="100">
                  <c:v>1.0067214891661154</c:v>
                </c:pt>
                <c:pt idx="101">
                  <c:v>0.76575095650616276</c:v>
                </c:pt>
                <c:pt idx="102">
                  <c:v>0.84594018727598586</c:v>
                </c:pt>
                <c:pt idx="103">
                  <c:v>0.97410229480200461</c:v>
                </c:pt>
                <c:pt idx="104">
                  <c:v>0.99584842437807852</c:v>
                </c:pt>
                <c:pt idx="105">
                  <c:v>1.1194120242596808</c:v>
                </c:pt>
                <c:pt idx="106">
                  <c:v>1.0283497287018208</c:v>
                </c:pt>
                <c:pt idx="107">
                  <c:v>1.0760376551479014</c:v>
                </c:pt>
                <c:pt idx="108">
                  <c:v>0.70174645853297313</c:v>
                </c:pt>
                <c:pt idx="109">
                  <c:v>0.81343888295224354</c:v>
                </c:pt>
                <c:pt idx="110">
                  <c:v>1.0869107199359385</c:v>
                </c:pt>
                <c:pt idx="111">
                  <c:v>1.0174766639137838</c:v>
                </c:pt>
                <c:pt idx="112">
                  <c:v>1.0869107199359385</c:v>
                </c:pt>
                <c:pt idx="113">
                  <c:v>1.1085389594716437</c:v>
                </c:pt>
                <c:pt idx="114">
                  <c:v>1.1194120242596808</c:v>
                </c:pt>
                <c:pt idx="115">
                  <c:v>0.97410229480200461</c:v>
                </c:pt>
                <c:pt idx="116">
                  <c:v>1.0283497287018208</c:v>
                </c:pt>
                <c:pt idx="117">
                  <c:v>0.80256581816420658</c:v>
                </c:pt>
                <c:pt idx="118">
                  <c:v>0.92612941804580884</c:v>
                </c:pt>
                <c:pt idx="119">
                  <c:v>0.93728743314396068</c:v>
                </c:pt>
                <c:pt idx="120">
                  <c:v>0.9370024828338458</c:v>
                </c:pt>
                <c:pt idx="121">
                  <c:v>1.0067214891661154</c:v>
                </c:pt>
                <c:pt idx="122">
                  <c:v>0.80256581816420658</c:v>
                </c:pt>
                <c:pt idx="123">
                  <c:v>0.99584842437807852</c:v>
                </c:pt>
                <c:pt idx="124">
                  <c:v>0.9370024828338458</c:v>
                </c:pt>
                <c:pt idx="125">
                  <c:v>0.76575095650616276</c:v>
                </c:pt>
                <c:pt idx="126">
                  <c:v>0.9370024828338458</c:v>
                </c:pt>
                <c:pt idx="127">
                  <c:v>1.1194120242596808</c:v>
                </c:pt>
                <c:pt idx="128">
                  <c:v>1.0066035991257469</c:v>
                </c:pt>
                <c:pt idx="129">
                  <c:v>0.79280875409083318</c:v>
                </c:pt>
                <c:pt idx="130">
                  <c:v>0.73324965218242044</c:v>
                </c:pt>
                <c:pt idx="131">
                  <c:v>0.84594018727598586</c:v>
                </c:pt>
                <c:pt idx="132">
                  <c:v>0.85681325206402281</c:v>
                </c:pt>
                <c:pt idx="133">
                  <c:v>1.0066035991257469</c:v>
                </c:pt>
                <c:pt idx="134">
                  <c:v>0.8350671224879489</c:v>
                </c:pt>
                <c:pt idx="135">
                  <c:v>0.9370024828338458</c:v>
                </c:pt>
                <c:pt idx="136">
                  <c:v>1.1194120242596808</c:v>
                </c:pt>
                <c:pt idx="137">
                  <c:v>1.1194120242596808</c:v>
                </c:pt>
                <c:pt idx="138">
                  <c:v>0.92612941804580884</c:v>
                </c:pt>
                <c:pt idx="139">
                  <c:v>1.3810126857810439</c:v>
                </c:pt>
                <c:pt idx="140">
                  <c:v>1.1768570147791351</c:v>
                </c:pt>
                <c:pt idx="141">
                  <c:v>0.90478612882021836</c:v>
                </c:pt>
                <c:pt idx="142">
                  <c:v>0.7548778917181258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41-4088-9C3F-48ADA0517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84992"/>
        <c:axId val="418470592"/>
      </c:scatterChart>
      <c:valAx>
        <c:axId val="41848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Aware of ai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70592"/>
        <c:crosses val="autoZero"/>
        <c:crossBetween val="midCat"/>
      </c:valAx>
      <c:valAx>
        <c:axId val="418470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Bin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84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Regression!$E$28:$E$170</c:f>
              <c:numCache>
                <c:formatCode>General</c:formatCode>
                <c:ptCount val="143"/>
                <c:pt idx="0">
                  <c:v>0.34965034965034963</c:v>
                </c:pt>
                <c:pt idx="1">
                  <c:v>1.048951048951049</c:v>
                </c:pt>
                <c:pt idx="2">
                  <c:v>1.7482517482517481</c:v>
                </c:pt>
                <c:pt idx="3">
                  <c:v>2.4475524475524475</c:v>
                </c:pt>
                <c:pt idx="4">
                  <c:v>3.1468531468531467</c:v>
                </c:pt>
                <c:pt idx="5">
                  <c:v>3.8461538461538458</c:v>
                </c:pt>
                <c:pt idx="6">
                  <c:v>4.5454545454545459</c:v>
                </c:pt>
                <c:pt idx="7">
                  <c:v>5.244755244755245</c:v>
                </c:pt>
                <c:pt idx="8">
                  <c:v>5.9440559440559442</c:v>
                </c:pt>
                <c:pt idx="9">
                  <c:v>6.6433566433566433</c:v>
                </c:pt>
                <c:pt idx="10">
                  <c:v>7.3426573426573425</c:v>
                </c:pt>
                <c:pt idx="11">
                  <c:v>8.0419580419580416</c:v>
                </c:pt>
                <c:pt idx="12">
                  <c:v>8.7412587412587417</c:v>
                </c:pt>
                <c:pt idx="13">
                  <c:v>9.44055944055944</c:v>
                </c:pt>
                <c:pt idx="14">
                  <c:v>10.13986013986014</c:v>
                </c:pt>
                <c:pt idx="15">
                  <c:v>10.839160839160838</c:v>
                </c:pt>
                <c:pt idx="16">
                  <c:v>11.538461538461538</c:v>
                </c:pt>
                <c:pt idx="17">
                  <c:v>12.237762237762238</c:v>
                </c:pt>
                <c:pt idx="18">
                  <c:v>12.937062937062937</c:v>
                </c:pt>
                <c:pt idx="19">
                  <c:v>13.636363636363637</c:v>
                </c:pt>
                <c:pt idx="20">
                  <c:v>14.335664335664335</c:v>
                </c:pt>
                <c:pt idx="21">
                  <c:v>15.034965034965035</c:v>
                </c:pt>
                <c:pt idx="22">
                  <c:v>15.734265734265733</c:v>
                </c:pt>
                <c:pt idx="23">
                  <c:v>16.433566433566433</c:v>
                </c:pt>
                <c:pt idx="24">
                  <c:v>17.132867132867133</c:v>
                </c:pt>
                <c:pt idx="25">
                  <c:v>17.832167832167833</c:v>
                </c:pt>
                <c:pt idx="26">
                  <c:v>18.53146853146853</c:v>
                </c:pt>
                <c:pt idx="27">
                  <c:v>19.23076923076923</c:v>
                </c:pt>
                <c:pt idx="28">
                  <c:v>19.93006993006993</c:v>
                </c:pt>
                <c:pt idx="29">
                  <c:v>20.62937062937063</c:v>
                </c:pt>
                <c:pt idx="30">
                  <c:v>21.328671328671327</c:v>
                </c:pt>
                <c:pt idx="31">
                  <c:v>22.027972027972027</c:v>
                </c:pt>
                <c:pt idx="32">
                  <c:v>22.727272727272727</c:v>
                </c:pt>
                <c:pt idx="33">
                  <c:v>23.426573426573427</c:v>
                </c:pt>
                <c:pt idx="34">
                  <c:v>24.125874125874127</c:v>
                </c:pt>
                <c:pt idx="35">
                  <c:v>24.825174825174823</c:v>
                </c:pt>
                <c:pt idx="36">
                  <c:v>25.524475524475523</c:v>
                </c:pt>
                <c:pt idx="37">
                  <c:v>26.223776223776223</c:v>
                </c:pt>
                <c:pt idx="38">
                  <c:v>26.923076923076923</c:v>
                </c:pt>
                <c:pt idx="39">
                  <c:v>27.62237762237762</c:v>
                </c:pt>
                <c:pt idx="40">
                  <c:v>28.32167832167832</c:v>
                </c:pt>
                <c:pt idx="41">
                  <c:v>29.02097902097902</c:v>
                </c:pt>
                <c:pt idx="42">
                  <c:v>29.72027972027972</c:v>
                </c:pt>
                <c:pt idx="43">
                  <c:v>30.41958041958042</c:v>
                </c:pt>
                <c:pt idx="44">
                  <c:v>31.118881118881117</c:v>
                </c:pt>
                <c:pt idx="45">
                  <c:v>31.818181818181817</c:v>
                </c:pt>
                <c:pt idx="46">
                  <c:v>32.517482517482513</c:v>
                </c:pt>
                <c:pt idx="47">
                  <c:v>33.216783216783213</c:v>
                </c:pt>
                <c:pt idx="48">
                  <c:v>33.916083916083913</c:v>
                </c:pt>
                <c:pt idx="49">
                  <c:v>34.615384615384613</c:v>
                </c:pt>
                <c:pt idx="50">
                  <c:v>35.314685314685313</c:v>
                </c:pt>
                <c:pt idx="51">
                  <c:v>36.013986013986006</c:v>
                </c:pt>
                <c:pt idx="52">
                  <c:v>36.713286713286706</c:v>
                </c:pt>
                <c:pt idx="53">
                  <c:v>37.412587412587406</c:v>
                </c:pt>
                <c:pt idx="54">
                  <c:v>38.111888111888106</c:v>
                </c:pt>
                <c:pt idx="55">
                  <c:v>38.811188811188806</c:v>
                </c:pt>
                <c:pt idx="56">
                  <c:v>39.510489510489506</c:v>
                </c:pt>
                <c:pt idx="57">
                  <c:v>40.209790209790206</c:v>
                </c:pt>
                <c:pt idx="58">
                  <c:v>40.909090909090907</c:v>
                </c:pt>
                <c:pt idx="59">
                  <c:v>41.608391608391607</c:v>
                </c:pt>
                <c:pt idx="60">
                  <c:v>42.307692307692299</c:v>
                </c:pt>
                <c:pt idx="61">
                  <c:v>43.006993006993</c:v>
                </c:pt>
                <c:pt idx="62">
                  <c:v>43.7062937062937</c:v>
                </c:pt>
                <c:pt idx="63">
                  <c:v>44.4055944055944</c:v>
                </c:pt>
                <c:pt idx="64">
                  <c:v>45.1048951048951</c:v>
                </c:pt>
                <c:pt idx="65">
                  <c:v>45.8041958041958</c:v>
                </c:pt>
                <c:pt idx="66">
                  <c:v>46.5034965034965</c:v>
                </c:pt>
                <c:pt idx="67">
                  <c:v>47.2027972027972</c:v>
                </c:pt>
                <c:pt idx="68">
                  <c:v>47.9020979020979</c:v>
                </c:pt>
                <c:pt idx="69">
                  <c:v>48.601398601398593</c:v>
                </c:pt>
                <c:pt idx="70">
                  <c:v>49.300699300699293</c:v>
                </c:pt>
                <c:pt idx="71">
                  <c:v>49.999999999999993</c:v>
                </c:pt>
                <c:pt idx="72">
                  <c:v>50.699300699300693</c:v>
                </c:pt>
                <c:pt idx="73">
                  <c:v>51.398601398601393</c:v>
                </c:pt>
                <c:pt idx="74">
                  <c:v>52.097902097902093</c:v>
                </c:pt>
                <c:pt idx="75">
                  <c:v>52.797202797202793</c:v>
                </c:pt>
                <c:pt idx="76">
                  <c:v>53.496503496503493</c:v>
                </c:pt>
                <c:pt idx="77">
                  <c:v>54.195804195804193</c:v>
                </c:pt>
                <c:pt idx="78">
                  <c:v>54.895104895104886</c:v>
                </c:pt>
                <c:pt idx="79">
                  <c:v>55.594405594405586</c:v>
                </c:pt>
                <c:pt idx="80">
                  <c:v>56.293706293706286</c:v>
                </c:pt>
                <c:pt idx="81">
                  <c:v>56.993006993006986</c:v>
                </c:pt>
                <c:pt idx="82">
                  <c:v>57.692307692307686</c:v>
                </c:pt>
                <c:pt idx="83">
                  <c:v>58.391608391608386</c:v>
                </c:pt>
                <c:pt idx="84">
                  <c:v>59.090909090909086</c:v>
                </c:pt>
                <c:pt idx="85">
                  <c:v>59.790209790209786</c:v>
                </c:pt>
                <c:pt idx="86">
                  <c:v>60.489510489510486</c:v>
                </c:pt>
                <c:pt idx="87">
                  <c:v>61.188811188811179</c:v>
                </c:pt>
                <c:pt idx="88">
                  <c:v>61.888111888111879</c:v>
                </c:pt>
                <c:pt idx="89">
                  <c:v>62.58741258741258</c:v>
                </c:pt>
                <c:pt idx="90">
                  <c:v>63.28671328671328</c:v>
                </c:pt>
                <c:pt idx="91">
                  <c:v>63.98601398601398</c:v>
                </c:pt>
                <c:pt idx="92">
                  <c:v>64.68531468531468</c:v>
                </c:pt>
                <c:pt idx="93">
                  <c:v>65.384615384615373</c:v>
                </c:pt>
                <c:pt idx="94">
                  <c:v>66.08391608391608</c:v>
                </c:pt>
                <c:pt idx="95">
                  <c:v>66.783216783216773</c:v>
                </c:pt>
                <c:pt idx="96">
                  <c:v>67.48251748251748</c:v>
                </c:pt>
                <c:pt idx="97">
                  <c:v>68.181818181818173</c:v>
                </c:pt>
                <c:pt idx="98">
                  <c:v>68.88111888111888</c:v>
                </c:pt>
                <c:pt idx="99">
                  <c:v>69.580419580419573</c:v>
                </c:pt>
                <c:pt idx="100">
                  <c:v>70.27972027972028</c:v>
                </c:pt>
                <c:pt idx="101">
                  <c:v>70.979020979020973</c:v>
                </c:pt>
                <c:pt idx="102">
                  <c:v>71.678321678321666</c:v>
                </c:pt>
                <c:pt idx="103">
                  <c:v>72.377622377622373</c:v>
                </c:pt>
                <c:pt idx="104">
                  <c:v>73.076923076923066</c:v>
                </c:pt>
                <c:pt idx="105">
                  <c:v>73.776223776223773</c:v>
                </c:pt>
                <c:pt idx="106">
                  <c:v>74.475524475524466</c:v>
                </c:pt>
                <c:pt idx="107">
                  <c:v>75.174825174825173</c:v>
                </c:pt>
                <c:pt idx="108">
                  <c:v>75.874125874125866</c:v>
                </c:pt>
                <c:pt idx="109">
                  <c:v>76.573426573426573</c:v>
                </c:pt>
                <c:pt idx="110">
                  <c:v>77.272727272727266</c:v>
                </c:pt>
                <c:pt idx="111">
                  <c:v>77.972027972027959</c:v>
                </c:pt>
                <c:pt idx="112">
                  <c:v>78.671328671328666</c:v>
                </c:pt>
                <c:pt idx="113">
                  <c:v>79.370629370629359</c:v>
                </c:pt>
                <c:pt idx="114">
                  <c:v>80.069930069930066</c:v>
                </c:pt>
                <c:pt idx="115">
                  <c:v>80.769230769230759</c:v>
                </c:pt>
                <c:pt idx="116">
                  <c:v>81.468531468531467</c:v>
                </c:pt>
                <c:pt idx="117">
                  <c:v>82.167832167832159</c:v>
                </c:pt>
                <c:pt idx="118">
                  <c:v>82.867132867132867</c:v>
                </c:pt>
                <c:pt idx="119">
                  <c:v>83.56643356643356</c:v>
                </c:pt>
                <c:pt idx="120">
                  <c:v>84.265734265734253</c:v>
                </c:pt>
                <c:pt idx="121">
                  <c:v>84.96503496503496</c:v>
                </c:pt>
                <c:pt idx="122">
                  <c:v>85.664335664335653</c:v>
                </c:pt>
                <c:pt idx="123">
                  <c:v>86.36363636363636</c:v>
                </c:pt>
                <c:pt idx="124">
                  <c:v>87.062937062937053</c:v>
                </c:pt>
                <c:pt idx="125">
                  <c:v>87.76223776223776</c:v>
                </c:pt>
                <c:pt idx="126">
                  <c:v>88.461538461538453</c:v>
                </c:pt>
                <c:pt idx="127">
                  <c:v>89.16083916083916</c:v>
                </c:pt>
                <c:pt idx="128">
                  <c:v>89.860139860139853</c:v>
                </c:pt>
                <c:pt idx="129">
                  <c:v>90.559440559440546</c:v>
                </c:pt>
                <c:pt idx="130">
                  <c:v>91.258741258741253</c:v>
                </c:pt>
                <c:pt idx="131">
                  <c:v>91.958041958041946</c:v>
                </c:pt>
                <c:pt idx="132">
                  <c:v>92.657342657342653</c:v>
                </c:pt>
                <c:pt idx="133">
                  <c:v>93.356643356643346</c:v>
                </c:pt>
                <c:pt idx="134">
                  <c:v>94.055944055944053</c:v>
                </c:pt>
                <c:pt idx="135">
                  <c:v>94.755244755244746</c:v>
                </c:pt>
                <c:pt idx="136">
                  <c:v>95.454545454545453</c:v>
                </c:pt>
                <c:pt idx="137">
                  <c:v>96.153846153846146</c:v>
                </c:pt>
                <c:pt idx="138">
                  <c:v>96.853146853146839</c:v>
                </c:pt>
                <c:pt idx="139">
                  <c:v>97.552447552447546</c:v>
                </c:pt>
                <c:pt idx="140">
                  <c:v>98.251748251748239</c:v>
                </c:pt>
                <c:pt idx="141">
                  <c:v>98.951048951048946</c:v>
                </c:pt>
                <c:pt idx="142">
                  <c:v>99.650349650349639</c:v>
                </c:pt>
              </c:numCache>
            </c:numRef>
          </c:xVal>
          <c:yVal>
            <c:numRef>
              <c:f>Regression!$F$28:$F$170</c:f>
              <c:numCache>
                <c:formatCode>General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84-40C2-AC7B-DBF05BDC8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85472"/>
        <c:axId val="418485952"/>
      </c:scatterChart>
      <c:valAx>
        <c:axId val="41848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85952"/>
        <c:crosses val="autoZero"/>
        <c:crossBetween val="midCat"/>
      </c:valAx>
      <c:valAx>
        <c:axId val="418485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Support Bin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4854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160020</xdr:rowOff>
    </xdr:from>
    <xdr:to>
      <xdr:col>15</xdr:col>
      <xdr:colOff>251460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EB05A-5791-E6D8-C4AB-435799C29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1</xdr:row>
      <xdr:rowOff>160020</xdr:rowOff>
    </xdr:from>
    <xdr:to>
      <xdr:col>16</xdr:col>
      <xdr:colOff>251460</xdr:colOff>
      <xdr:row>11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C388C-8F8C-ACC9-91A2-189C355D2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3</xdr:row>
      <xdr:rowOff>160020</xdr:rowOff>
    </xdr:from>
    <xdr:to>
      <xdr:col>17</xdr:col>
      <xdr:colOff>251460</xdr:colOff>
      <xdr:row>13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7717F4-71CD-023C-D37C-410B6015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5</xdr:row>
      <xdr:rowOff>160020</xdr:rowOff>
    </xdr:from>
    <xdr:to>
      <xdr:col>18</xdr:col>
      <xdr:colOff>251460</xdr:colOff>
      <xdr:row>15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44805E-32D2-8158-1C40-EFE0960E1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7</xdr:row>
      <xdr:rowOff>160020</xdr:rowOff>
    </xdr:from>
    <xdr:to>
      <xdr:col>19</xdr:col>
      <xdr:colOff>251460</xdr:colOff>
      <xdr:row>17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E4F99D-9670-44E1-4936-E49C8614C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9</xdr:row>
      <xdr:rowOff>160020</xdr:rowOff>
    </xdr:from>
    <xdr:to>
      <xdr:col>20</xdr:col>
      <xdr:colOff>251460</xdr:colOff>
      <xdr:row>19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24EED5-55F7-3C53-340C-97B6246B7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11</xdr:row>
      <xdr:rowOff>160020</xdr:rowOff>
    </xdr:from>
    <xdr:to>
      <xdr:col>21</xdr:col>
      <xdr:colOff>251461</xdr:colOff>
      <xdr:row>21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7E1067-16EA-B26B-BD16-8488EF783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13</xdr:row>
      <xdr:rowOff>160020</xdr:rowOff>
    </xdr:from>
    <xdr:to>
      <xdr:col>22</xdr:col>
      <xdr:colOff>251461</xdr:colOff>
      <xdr:row>23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7DEE66-5074-3D67-8D67-C104A9A6E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15</xdr:row>
      <xdr:rowOff>160020</xdr:rowOff>
    </xdr:from>
    <xdr:to>
      <xdr:col>23</xdr:col>
      <xdr:colOff>251461</xdr:colOff>
      <xdr:row>25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7C2BC0-03C3-C43E-56DD-443F7F0AC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251460</xdr:colOff>
      <xdr:row>17</xdr:row>
      <xdr:rowOff>160020</xdr:rowOff>
    </xdr:from>
    <xdr:to>
      <xdr:col>24</xdr:col>
      <xdr:colOff>251461</xdr:colOff>
      <xdr:row>27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028E0B-3035-4FF9-F203-8C89CCF4D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251460</xdr:colOff>
      <xdr:row>19</xdr:row>
      <xdr:rowOff>160020</xdr:rowOff>
    </xdr:from>
    <xdr:to>
      <xdr:col>25</xdr:col>
      <xdr:colOff>251461</xdr:colOff>
      <xdr:row>29</xdr:row>
      <xdr:rowOff>160020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592CF7-C1B8-5819-4BC2-72670D708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144">
  <tableColumns count="19">
    <tableColumn id="1" xr3:uid="{00000000-0010-0000-0000-000001000000}" name="Timestamp"/>
    <tableColumn id="2" xr3:uid="{00000000-0010-0000-0000-000002000000}" name="1. What is your age range?"/>
    <tableColumn id="17" xr3:uid="{50064263-6946-479F-8405-95B565F01C75}" name="Age Code" dataDxfId="5">
      <calculatedColumnFormula>IF(B2="Below 18 years",1,IF(B2="18–25 years",2,IF(B2="25–35 years",3,"")))</calculatedColumnFormula>
    </tableColumn>
    <tableColumn id="3" xr3:uid="{00000000-0010-0000-0000-000003000000}" name="2. What is your gender?  "/>
    <tableColumn id="18" xr3:uid="{1722D1B5-B2ED-40DA-8053-10C04361AC37}" name="Gender code " dataDxfId="4">
      <calculatedColumnFormula>IF(D2="Male",1,IF(D2="Female",2,""))</calculatedColumnFormula>
    </tableColumn>
    <tableColumn id="4" xr3:uid="{00000000-0010-0000-0000-000004000000}" name="3. What is your current occupation?"/>
    <tableColumn id="5" xr3:uid="{00000000-0010-0000-0000-000005000000}" name="4. How many people live in your household?  "/>
    <tableColumn id="19" xr3:uid="{FCD4912F-E1AC-4C1A-8C2B-1788EBAF2EAF}" name="Household Size Code" dataDxfId="3">
      <calculatedColumnFormula>IF(G2="1–2",1,IF(G2="3-5",2,IF(G2="6+",3,"")))</calculatedColumnFormula>
    </tableColumn>
    <tableColumn id="6" xr3:uid="{00000000-0010-0000-0000-000006000000}" name=" 5. How much household waste do you generate per day?  "/>
    <tableColumn id="16" xr3:uid="{40B74203-78A7-4644-BCF3-B44A007CCF43}" name="Waste_Code" dataDxfId="2">
      <calculatedColumnFormula>IF(I2="&lt;1 kg",1,IF(I2="1–2 kg",2,IF(I2="2–5 kg",3,IF(I2="&gt;5 kg",4,""))))</calculatedColumnFormula>
    </tableColumn>
    <tableColumn id="7" xr3:uid="{00000000-0010-0000-0000-000007000000}" name="6. What types of waste do you commonly produce? "/>
    <tableColumn id="8" xr3:uid="{00000000-0010-0000-0000-000008000000}" name="7. How do you currently dispose of your household waste?  "/>
    <tableColumn id="9" xr3:uid="{00000000-0010-0000-0000-000009000000}" name="8. How often is your waste collected by municipal services? "/>
    <tableColumn id="10" xr3:uid="{00000000-0010-0000-0000-00000A000000}" name="9. Are you aware of smart/AI-enabled waste management technologies? "/>
    <tableColumn id="20" xr3:uid="{4863F14B-2C08-4F4B-BA1B-91E919564C70}" name="Aware of ai code" dataDxfId="1">
      <calculatedColumnFormula>IF(N2="Yes",1,IF(N2="No",2,""))</calculatedColumnFormula>
    </tableColumn>
    <tableColumn id="11" xr3:uid="{00000000-0010-0000-0000-00000B000000}" name="10. Would you support the use of smart bins with sensors for real-time monitoring? "/>
    <tableColumn id="21" xr3:uid="{F8A7FD85-21A1-46EB-9BA4-2CCD3EB2C87D}" name="Support Bin code" dataDxfId="0">
      <calculatedColumnFormula>IF(P2="No",0,IF(P2="Not Sure",1,IF(P2="Yes",2,"")))</calculatedColumnFormula>
    </tableColumn>
    <tableColumn id="12" xr3:uid="{00000000-0010-0000-0000-00000C000000}" name="11. How important is proper waste segregation in your household? "/>
    <tableColumn id="13" xr3:uid="{00000000-0010-0000-0000-00000D000000}" name="12. Would you be willing to participate in waste sorting if smart bins are installed in your area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44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2.6640625" defaultRowHeight="15.75" customHeight="1" x14ac:dyDescent="0.25"/>
  <cols>
    <col min="1" max="1" width="18.88671875" customWidth="1"/>
    <col min="2" max="2" width="25.44140625" customWidth="1"/>
    <col min="3" max="3" width="24" style="11" customWidth="1"/>
    <col min="4" max="4" width="32.33203125" customWidth="1"/>
    <col min="5" max="5" width="37.6640625" style="11" customWidth="1"/>
    <col min="6" max="6" width="37.6640625" customWidth="1"/>
    <col min="7" max="7" width="37.6640625" style="9" customWidth="1"/>
    <col min="8" max="8" width="37.6640625" style="14" customWidth="1"/>
    <col min="9" max="13" width="37.6640625" customWidth="1"/>
    <col min="14" max="14" width="33.5546875" customWidth="1"/>
    <col min="15" max="15" width="35" style="11" customWidth="1"/>
    <col min="16" max="16" width="38.21875" customWidth="1"/>
    <col min="17" max="17" width="69.6640625" style="11" customWidth="1"/>
    <col min="18" max="19" width="18.88671875" customWidth="1"/>
  </cols>
  <sheetData>
    <row r="1" spans="1:19" ht="22.5" customHeight="1" x14ac:dyDescent="0.25">
      <c r="A1" s="1" t="s">
        <v>0</v>
      </c>
      <c r="B1" s="6" t="s">
        <v>1</v>
      </c>
      <c r="C1" s="7" t="s">
        <v>64</v>
      </c>
      <c r="D1" s="2" t="s">
        <v>2</v>
      </c>
      <c r="E1" s="7" t="s">
        <v>65</v>
      </c>
      <c r="F1" s="2" t="s">
        <v>3</v>
      </c>
      <c r="G1" s="6" t="s">
        <v>4</v>
      </c>
      <c r="H1" s="15" t="s">
        <v>66</v>
      </c>
      <c r="I1" s="2" t="s">
        <v>5</v>
      </c>
      <c r="J1" s="7" t="s">
        <v>63</v>
      </c>
      <c r="K1" s="2" t="s">
        <v>6</v>
      </c>
      <c r="L1" s="2" t="s">
        <v>7</v>
      </c>
      <c r="M1" s="2" t="s">
        <v>8</v>
      </c>
      <c r="N1" s="2" t="s">
        <v>9</v>
      </c>
      <c r="O1" s="16" t="s">
        <v>67</v>
      </c>
      <c r="P1" s="2" t="s">
        <v>10</v>
      </c>
      <c r="Q1" s="16" t="s">
        <v>68</v>
      </c>
      <c r="R1" s="2" t="s">
        <v>11</v>
      </c>
      <c r="S1" s="2" t="s">
        <v>12</v>
      </c>
    </row>
    <row r="2" spans="1:19" ht="22.5" customHeight="1" x14ac:dyDescent="0.25">
      <c r="A2" s="3">
        <v>46072.523027812495</v>
      </c>
      <c r="B2" s="4" t="s">
        <v>13</v>
      </c>
      <c r="C2" s="10">
        <f t="shared" ref="C2:C33" si="0">IF(B2="Below 18 years",1,IF(B2="18–25 years",2,IF(B2="25–35 years",3,"")))</f>
        <v>2</v>
      </c>
      <c r="D2" s="4" t="s">
        <v>14</v>
      </c>
      <c r="E2" s="10">
        <f t="shared" ref="E2:E33" si="1">IF(D2="Male",1,IF(D2="Female",2,""))</f>
        <v>1</v>
      </c>
      <c r="F2" s="4" t="s">
        <v>15</v>
      </c>
      <c r="G2" s="4" t="s">
        <v>16</v>
      </c>
      <c r="H2" s="12">
        <f t="shared" ref="H2:H33" si="2">IF(G2="1–2",1,IF(G2="3-5",2,IF(G2="6+",3,"")))</f>
        <v>1</v>
      </c>
      <c r="I2" s="4" t="s">
        <v>17</v>
      </c>
      <c r="J2" s="8">
        <f t="shared" ref="J2:J33" si="3">IF(I2="&lt;1 kg",1,IF(I2="1–2 kg",2,IF(I2="2–5 kg",3,IF(I2="&gt;5 kg",4,""))))</f>
        <v>1</v>
      </c>
      <c r="K2" s="4" t="s">
        <v>18</v>
      </c>
      <c r="L2" s="4" t="s">
        <v>19</v>
      </c>
      <c r="M2" s="4" t="s">
        <v>20</v>
      </c>
      <c r="N2" s="4" t="s">
        <v>21</v>
      </c>
      <c r="O2" s="10">
        <f t="shared" ref="O2:O33" si="4">IF(N2="Yes",1,IF(N2="No",2,""))</f>
        <v>1</v>
      </c>
      <c r="P2" s="4" t="s">
        <v>22</v>
      </c>
      <c r="Q2" s="10">
        <f t="shared" ref="Q2:Q33" si="5">IF(P2="No",0,IF(P2="Not Sure",1,IF(P2="Yes",2,"")))</f>
        <v>0</v>
      </c>
      <c r="R2" s="4" t="s">
        <v>23</v>
      </c>
      <c r="S2" s="4" t="s">
        <v>21</v>
      </c>
    </row>
    <row r="3" spans="1:19" ht="22.5" customHeight="1" x14ac:dyDescent="0.25">
      <c r="A3" s="3">
        <v>46072.523027025461</v>
      </c>
      <c r="B3" s="4" t="s">
        <v>13</v>
      </c>
      <c r="C3" s="10">
        <f t="shared" si="0"/>
        <v>2</v>
      </c>
      <c r="D3" s="4" t="s">
        <v>14</v>
      </c>
      <c r="E3" s="10">
        <f t="shared" si="1"/>
        <v>1</v>
      </c>
      <c r="F3" s="4" t="s">
        <v>24</v>
      </c>
      <c r="G3" s="4" t="s">
        <v>16</v>
      </c>
      <c r="H3" s="12">
        <f t="shared" si="2"/>
        <v>1</v>
      </c>
      <c r="I3" s="4" t="s">
        <v>25</v>
      </c>
      <c r="J3" s="8">
        <f t="shared" si="3"/>
        <v>2</v>
      </c>
      <c r="K3" s="4" t="s">
        <v>26</v>
      </c>
      <c r="L3" s="4" t="s">
        <v>27</v>
      </c>
      <c r="M3" s="4" t="s">
        <v>28</v>
      </c>
      <c r="N3" s="4" t="s">
        <v>22</v>
      </c>
      <c r="O3" s="10">
        <f t="shared" si="4"/>
        <v>2</v>
      </c>
      <c r="P3" s="4" t="s">
        <v>22</v>
      </c>
      <c r="Q3" s="10">
        <f t="shared" si="5"/>
        <v>0</v>
      </c>
      <c r="R3" s="4" t="s">
        <v>29</v>
      </c>
      <c r="S3" s="4" t="s">
        <v>22</v>
      </c>
    </row>
    <row r="4" spans="1:19" ht="22.5" customHeight="1" x14ac:dyDescent="0.25">
      <c r="A4" s="3">
        <v>46072.523028449075</v>
      </c>
      <c r="B4" s="4" t="s">
        <v>13</v>
      </c>
      <c r="C4" s="10">
        <f t="shared" si="0"/>
        <v>2</v>
      </c>
      <c r="D4" s="4" t="s">
        <v>14</v>
      </c>
      <c r="E4" s="10">
        <f t="shared" si="1"/>
        <v>1</v>
      </c>
      <c r="F4" s="4" t="s">
        <v>30</v>
      </c>
      <c r="G4" s="5" t="s">
        <v>31</v>
      </c>
      <c r="H4" s="13">
        <f t="shared" si="2"/>
        <v>2</v>
      </c>
      <c r="I4" s="4" t="s">
        <v>25</v>
      </c>
      <c r="J4" s="8">
        <f t="shared" si="3"/>
        <v>2</v>
      </c>
      <c r="K4" s="4" t="s">
        <v>32</v>
      </c>
      <c r="L4" s="4" t="s">
        <v>33</v>
      </c>
      <c r="M4" s="4" t="s">
        <v>28</v>
      </c>
      <c r="N4" s="4" t="s">
        <v>21</v>
      </c>
      <c r="O4" s="10">
        <f t="shared" si="4"/>
        <v>1</v>
      </c>
      <c r="P4" s="4" t="s">
        <v>34</v>
      </c>
      <c r="Q4" s="10">
        <f t="shared" si="5"/>
        <v>1</v>
      </c>
      <c r="R4" s="4" t="s">
        <v>35</v>
      </c>
      <c r="S4" s="4" t="s">
        <v>22</v>
      </c>
    </row>
    <row r="5" spans="1:19" ht="22.5" customHeight="1" x14ac:dyDescent="0.25">
      <c r="A5" s="3">
        <v>46072.523028483796</v>
      </c>
      <c r="B5" s="4" t="s">
        <v>13</v>
      </c>
      <c r="C5" s="10">
        <f t="shared" si="0"/>
        <v>2</v>
      </c>
      <c r="D5" s="4" t="s">
        <v>14</v>
      </c>
      <c r="E5" s="10">
        <f t="shared" si="1"/>
        <v>1</v>
      </c>
      <c r="F5" s="4" t="s">
        <v>15</v>
      </c>
      <c r="G5" s="5" t="s">
        <v>31</v>
      </c>
      <c r="H5" s="13">
        <f t="shared" si="2"/>
        <v>2</v>
      </c>
      <c r="I5" s="4" t="s">
        <v>36</v>
      </c>
      <c r="J5" s="8">
        <f t="shared" si="3"/>
        <v>4</v>
      </c>
      <c r="K5" s="4" t="s">
        <v>37</v>
      </c>
      <c r="L5" s="4" t="s">
        <v>38</v>
      </c>
      <c r="M5" s="4" t="s">
        <v>28</v>
      </c>
      <c r="N5" s="4" t="s">
        <v>22</v>
      </c>
      <c r="O5" s="10">
        <f t="shared" si="4"/>
        <v>2</v>
      </c>
      <c r="P5" s="4" t="s">
        <v>34</v>
      </c>
      <c r="Q5" s="10">
        <f t="shared" si="5"/>
        <v>1</v>
      </c>
      <c r="R5" s="4" t="s">
        <v>23</v>
      </c>
      <c r="S5" s="4" t="s">
        <v>22</v>
      </c>
    </row>
    <row r="6" spans="1:19" ht="22.5" customHeight="1" x14ac:dyDescent="0.25">
      <c r="A6" s="3">
        <v>46072.523030798606</v>
      </c>
      <c r="B6" s="4" t="s">
        <v>13</v>
      </c>
      <c r="C6" s="10">
        <f t="shared" si="0"/>
        <v>2</v>
      </c>
      <c r="D6" s="4" t="s">
        <v>14</v>
      </c>
      <c r="E6" s="10">
        <f t="shared" si="1"/>
        <v>1</v>
      </c>
      <c r="F6" s="4" t="s">
        <v>24</v>
      </c>
      <c r="G6" s="5" t="s">
        <v>31</v>
      </c>
      <c r="H6" s="13">
        <f t="shared" si="2"/>
        <v>2</v>
      </c>
      <c r="I6" s="4" t="s">
        <v>25</v>
      </c>
      <c r="J6" s="8">
        <f t="shared" si="3"/>
        <v>2</v>
      </c>
      <c r="K6" s="4" t="s">
        <v>18</v>
      </c>
      <c r="L6" s="4" t="s">
        <v>39</v>
      </c>
      <c r="M6" s="4" t="s">
        <v>20</v>
      </c>
      <c r="N6" s="4" t="s">
        <v>22</v>
      </c>
      <c r="O6" s="10">
        <f t="shared" si="4"/>
        <v>2</v>
      </c>
      <c r="P6" s="4" t="s">
        <v>22</v>
      </c>
      <c r="Q6" s="10">
        <f t="shared" si="5"/>
        <v>0</v>
      </c>
      <c r="R6" s="4" t="s">
        <v>23</v>
      </c>
      <c r="S6" s="4" t="s">
        <v>22</v>
      </c>
    </row>
    <row r="7" spans="1:19" ht="22.5" customHeight="1" x14ac:dyDescent="0.25">
      <c r="A7" s="3">
        <v>46072.523028877316</v>
      </c>
      <c r="B7" s="4" t="s">
        <v>13</v>
      </c>
      <c r="C7" s="10">
        <f t="shared" si="0"/>
        <v>2</v>
      </c>
      <c r="D7" s="4" t="s">
        <v>14</v>
      </c>
      <c r="E7" s="10">
        <f t="shared" si="1"/>
        <v>1</v>
      </c>
      <c r="F7" s="4" t="s">
        <v>24</v>
      </c>
      <c r="G7" s="4" t="s">
        <v>16</v>
      </c>
      <c r="H7" s="12">
        <f t="shared" si="2"/>
        <v>1</v>
      </c>
      <c r="I7" s="4" t="s">
        <v>40</v>
      </c>
      <c r="J7" s="8">
        <f t="shared" si="3"/>
        <v>3</v>
      </c>
      <c r="K7" s="4" t="s">
        <v>26</v>
      </c>
      <c r="L7" s="4" t="s">
        <v>41</v>
      </c>
      <c r="M7" s="4" t="s">
        <v>28</v>
      </c>
      <c r="N7" s="4" t="s">
        <v>22</v>
      </c>
      <c r="O7" s="10">
        <f t="shared" si="4"/>
        <v>2</v>
      </c>
      <c r="P7" s="4" t="s">
        <v>21</v>
      </c>
      <c r="Q7" s="10">
        <f t="shared" si="5"/>
        <v>2</v>
      </c>
      <c r="R7" s="4" t="s">
        <v>29</v>
      </c>
      <c r="S7" s="4" t="s">
        <v>22</v>
      </c>
    </row>
    <row r="8" spans="1:19" ht="22.5" customHeight="1" x14ac:dyDescent="0.25">
      <c r="A8" s="3">
        <v>46072.523028877316</v>
      </c>
      <c r="B8" s="4" t="s">
        <v>13</v>
      </c>
      <c r="C8" s="10">
        <f t="shared" si="0"/>
        <v>2</v>
      </c>
      <c r="D8" s="4" t="s">
        <v>42</v>
      </c>
      <c r="E8" s="10">
        <f t="shared" si="1"/>
        <v>2</v>
      </c>
      <c r="F8" s="4" t="s">
        <v>30</v>
      </c>
      <c r="G8" s="5" t="s">
        <v>31</v>
      </c>
      <c r="H8" s="13">
        <f t="shared" si="2"/>
        <v>2</v>
      </c>
      <c r="I8" s="4" t="s">
        <v>25</v>
      </c>
      <c r="J8" s="8">
        <f t="shared" si="3"/>
        <v>2</v>
      </c>
      <c r="K8" s="4" t="s">
        <v>43</v>
      </c>
      <c r="L8" s="4" t="s">
        <v>44</v>
      </c>
      <c r="M8" s="4" t="s">
        <v>28</v>
      </c>
      <c r="N8" s="4" t="s">
        <v>22</v>
      </c>
      <c r="O8" s="10">
        <f t="shared" si="4"/>
        <v>2</v>
      </c>
      <c r="P8" s="4" t="s">
        <v>22</v>
      </c>
      <c r="Q8" s="10">
        <f t="shared" si="5"/>
        <v>0</v>
      </c>
      <c r="R8" s="4" t="s">
        <v>29</v>
      </c>
      <c r="S8" s="4" t="s">
        <v>21</v>
      </c>
    </row>
    <row r="9" spans="1:19" ht="22.5" customHeight="1" x14ac:dyDescent="0.25">
      <c r="A9" s="3">
        <v>46072.523028819443</v>
      </c>
      <c r="B9" s="4" t="s">
        <v>13</v>
      </c>
      <c r="C9" s="10">
        <f t="shared" si="0"/>
        <v>2</v>
      </c>
      <c r="D9" s="4" t="s">
        <v>42</v>
      </c>
      <c r="E9" s="10">
        <f t="shared" si="1"/>
        <v>2</v>
      </c>
      <c r="F9" s="4" t="s">
        <v>30</v>
      </c>
      <c r="G9" s="4" t="s">
        <v>16</v>
      </c>
      <c r="H9" s="12">
        <f t="shared" si="2"/>
        <v>1</v>
      </c>
      <c r="I9" s="4" t="s">
        <v>25</v>
      </c>
      <c r="J9" s="8">
        <f t="shared" si="3"/>
        <v>2</v>
      </c>
      <c r="K9" s="4" t="s">
        <v>43</v>
      </c>
      <c r="L9" s="4" t="s">
        <v>45</v>
      </c>
      <c r="M9" s="4" t="s">
        <v>20</v>
      </c>
      <c r="N9" s="4" t="s">
        <v>22</v>
      </c>
      <c r="O9" s="10">
        <f t="shared" si="4"/>
        <v>2</v>
      </c>
      <c r="P9" s="4" t="s">
        <v>21</v>
      </c>
      <c r="Q9" s="10">
        <f t="shared" si="5"/>
        <v>2</v>
      </c>
      <c r="R9" s="4" t="s">
        <v>23</v>
      </c>
      <c r="S9" s="4" t="s">
        <v>21</v>
      </c>
    </row>
    <row r="10" spans="1:19" ht="22.5" customHeight="1" x14ac:dyDescent="0.25">
      <c r="A10" s="3">
        <v>46072.52302896991</v>
      </c>
      <c r="B10" s="4" t="s">
        <v>13</v>
      </c>
      <c r="C10" s="10">
        <f t="shared" si="0"/>
        <v>2</v>
      </c>
      <c r="D10" s="4" t="s">
        <v>42</v>
      </c>
      <c r="E10" s="10">
        <f t="shared" si="1"/>
        <v>2</v>
      </c>
      <c r="F10" s="4" t="s">
        <v>15</v>
      </c>
      <c r="G10" s="4" t="s">
        <v>16</v>
      </c>
      <c r="H10" s="12">
        <f t="shared" si="2"/>
        <v>1</v>
      </c>
      <c r="I10" s="4" t="s">
        <v>25</v>
      </c>
      <c r="J10" s="8">
        <f t="shared" si="3"/>
        <v>2</v>
      </c>
      <c r="K10" s="4" t="s">
        <v>43</v>
      </c>
      <c r="L10" s="4" t="s">
        <v>46</v>
      </c>
      <c r="M10" s="4" t="s">
        <v>28</v>
      </c>
      <c r="N10" s="4" t="s">
        <v>21</v>
      </c>
      <c r="O10" s="10">
        <f t="shared" si="4"/>
        <v>1</v>
      </c>
      <c r="P10" s="4" t="s">
        <v>22</v>
      </c>
      <c r="Q10" s="10">
        <f t="shared" si="5"/>
        <v>0</v>
      </c>
      <c r="R10" s="4" t="s">
        <v>23</v>
      </c>
      <c r="S10" s="4" t="s">
        <v>22</v>
      </c>
    </row>
    <row r="11" spans="1:19" ht="22.5" customHeight="1" x14ac:dyDescent="0.25">
      <c r="A11" s="3">
        <v>46072.52302980324</v>
      </c>
      <c r="B11" s="4" t="s">
        <v>13</v>
      </c>
      <c r="C11" s="10">
        <f t="shared" si="0"/>
        <v>2</v>
      </c>
      <c r="D11" s="4" t="s">
        <v>14</v>
      </c>
      <c r="E11" s="10">
        <f t="shared" si="1"/>
        <v>1</v>
      </c>
      <c r="F11" s="4" t="s">
        <v>15</v>
      </c>
      <c r="G11" s="5" t="s">
        <v>31</v>
      </c>
      <c r="H11" s="13">
        <f t="shared" si="2"/>
        <v>2</v>
      </c>
      <c r="I11" s="4" t="s">
        <v>36</v>
      </c>
      <c r="J11" s="8">
        <f t="shared" si="3"/>
        <v>4</v>
      </c>
      <c r="K11" s="4" t="s">
        <v>37</v>
      </c>
      <c r="L11" s="4" t="s">
        <v>38</v>
      </c>
      <c r="M11" s="4" t="s">
        <v>20</v>
      </c>
      <c r="N11" s="4" t="s">
        <v>21</v>
      </c>
      <c r="O11" s="10">
        <f t="shared" si="4"/>
        <v>1</v>
      </c>
      <c r="P11" s="4" t="s">
        <v>22</v>
      </c>
      <c r="Q11" s="10">
        <f t="shared" si="5"/>
        <v>0</v>
      </c>
      <c r="R11" s="4" t="s">
        <v>47</v>
      </c>
      <c r="S11" s="4" t="s">
        <v>21</v>
      </c>
    </row>
    <row r="12" spans="1:19" ht="22.5" customHeight="1" x14ac:dyDescent="0.25">
      <c r="A12" s="3">
        <v>46072.523029791671</v>
      </c>
      <c r="B12" s="4" t="s">
        <v>13</v>
      </c>
      <c r="C12" s="10">
        <f t="shared" si="0"/>
        <v>2</v>
      </c>
      <c r="D12" s="4" t="s">
        <v>14</v>
      </c>
      <c r="E12" s="10">
        <f t="shared" si="1"/>
        <v>1</v>
      </c>
      <c r="F12" s="4" t="s">
        <v>30</v>
      </c>
      <c r="G12" s="4" t="s">
        <v>48</v>
      </c>
      <c r="H12" s="12">
        <f t="shared" si="2"/>
        <v>3</v>
      </c>
      <c r="I12" s="4" t="s">
        <v>25</v>
      </c>
      <c r="J12" s="8">
        <f t="shared" si="3"/>
        <v>2</v>
      </c>
      <c r="K12" s="4" t="s">
        <v>43</v>
      </c>
      <c r="L12" s="4" t="s">
        <v>27</v>
      </c>
      <c r="M12" s="4" t="s">
        <v>28</v>
      </c>
      <c r="N12" s="4" t="s">
        <v>22</v>
      </c>
      <c r="O12" s="10">
        <f t="shared" si="4"/>
        <v>2</v>
      </c>
      <c r="P12" s="4" t="s">
        <v>22</v>
      </c>
      <c r="Q12" s="10">
        <f t="shared" si="5"/>
        <v>0</v>
      </c>
      <c r="R12" s="4" t="s">
        <v>35</v>
      </c>
      <c r="S12" s="4" t="s">
        <v>22</v>
      </c>
    </row>
    <row r="13" spans="1:19" ht="22.5" customHeight="1" x14ac:dyDescent="0.25">
      <c r="A13" s="3">
        <v>46072.52303034722</v>
      </c>
      <c r="B13" s="4" t="s">
        <v>13</v>
      </c>
      <c r="C13" s="10">
        <f t="shared" si="0"/>
        <v>2</v>
      </c>
      <c r="D13" s="4" t="s">
        <v>42</v>
      </c>
      <c r="E13" s="10">
        <f t="shared" si="1"/>
        <v>2</v>
      </c>
      <c r="F13" s="4" t="s">
        <v>15</v>
      </c>
      <c r="G13" s="4" t="s">
        <v>16</v>
      </c>
      <c r="H13" s="12">
        <f t="shared" si="2"/>
        <v>1</v>
      </c>
      <c r="I13" s="4" t="s">
        <v>25</v>
      </c>
      <c r="J13" s="8">
        <f t="shared" si="3"/>
        <v>2</v>
      </c>
      <c r="K13" s="4" t="s">
        <v>49</v>
      </c>
      <c r="L13" s="4" t="s">
        <v>50</v>
      </c>
      <c r="M13" s="4" t="s">
        <v>28</v>
      </c>
      <c r="N13" s="4" t="s">
        <v>22</v>
      </c>
      <c r="O13" s="10">
        <f t="shared" si="4"/>
        <v>2</v>
      </c>
      <c r="P13" s="4" t="s">
        <v>34</v>
      </c>
      <c r="Q13" s="10">
        <f t="shared" si="5"/>
        <v>1</v>
      </c>
      <c r="R13" s="4" t="s">
        <v>23</v>
      </c>
      <c r="S13" s="4" t="s">
        <v>22</v>
      </c>
    </row>
    <row r="14" spans="1:19" ht="22.5" customHeight="1" x14ac:dyDescent="0.25">
      <c r="A14" s="3">
        <v>46072.523030381941</v>
      </c>
      <c r="B14" s="4" t="s">
        <v>13</v>
      </c>
      <c r="C14" s="10">
        <f t="shared" si="0"/>
        <v>2</v>
      </c>
      <c r="D14" s="4" t="s">
        <v>14</v>
      </c>
      <c r="E14" s="10">
        <f t="shared" si="1"/>
        <v>1</v>
      </c>
      <c r="F14" s="4" t="s">
        <v>51</v>
      </c>
      <c r="G14" s="4" t="s">
        <v>48</v>
      </c>
      <c r="H14" s="12">
        <f t="shared" si="2"/>
        <v>3</v>
      </c>
      <c r="I14" s="4" t="s">
        <v>25</v>
      </c>
      <c r="J14" s="8">
        <f t="shared" si="3"/>
        <v>2</v>
      </c>
      <c r="K14" s="4" t="s">
        <v>43</v>
      </c>
      <c r="L14" s="4" t="s">
        <v>46</v>
      </c>
      <c r="M14" s="4" t="s">
        <v>28</v>
      </c>
      <c r="N14" s="4" t="s">
        <v>21</v>
      </c>
      <c r="O14" s="10">
        <f t="shared" si="4"/>
        <v>1</v>
      </c>
      <c r="P14" s="4" t="s">
        <v>34</v>
      </c>
      <c r="Q14" s="10">
        <f t="shared" si="5"/>
        <v>1</v>
      </c>
      <c r="R14" s="4" t="s">
        <v>29</v>
      </c>
      <c r="S14" s="4" t="s">
        <v>22</v>
      </c>
    </row>
    <row r="15" spans="1:19" ht="22.5" customHeight="1" x14ac:dyDescent="0.25">
      <c r="A15" s="3">
        <v>46072.523030393517</v>
      </c>
      <c r="B15" s="4" t="s">
        <v>13</v>
      </c>
      <c r="C15" s="10">
        <f t="shared" si="0"/>
        <v>2</v>
      </c>
      <c r="D15" s="4" t="s">
        <v>14</v>
      </c>
      <c r="E15" s="10">
        <f t="shared" si="1"/>
        <v>1</v>
      </c>
      <c r="F15" s="4" t="s">
        <v>52</v>
      </c>
      <c r="G15" s="5" t="s">
        <v>31</v>
      </c>
      <c r="H15" s="13">
        <f t="shared" si="2"/>
        <v>2</v>
      </c>
      <c r="I15" s="4" t="s">
        <v>40</v>
      </c>
      <c r="J15" s="8">
        <f t="shared" si="3"/>
        <v>3</v>
      </c>
      <c r="K15" s="4" t="s">
        <v>18</v>
      </c>
      <c r="L15" s="4" t="s">
        <v>53</v>
      </c>
      <c r="M15" s="4" t="s">
        <v>28</v>
      </c>
      <c r="N15" s="4" t="s">
        <v>22</v>
      </c>
      <c r="O15" s="10">
        <f t="shared" si="4"/>
        <v>2</v>
      </c>
      <c r="P15" s="4" t="s">
        <v>22</v>
      </c>
      <c r="Q15" s="10">
        <f t="shared" si="5"/>
        <v>0</v>
      </c>
      <c r="R15" s="4" t="s">
        <v>35</v>
      </c>
      <c r="S15" s="4" t="s">
        <v>21</v>
      </c>
    </row>
    <row r="16" spans="1:19" ht="22.5" customHeight="1" x14ac:dyDescent="0.25">
      <c r="A16" s="3">
        <v>46072.523030601849</v>
      </c>
      <c r="B16" s="4" t="s">
        <v>13</v>
      </c>
      <c r="C16" s="10">
        <f t="shared" si="0"/>
        <v>2</v>
      </c>
      <c r="D16" s="4" t="s">
        <v>14</v>
      </c>
      <c r="E16" s="10">
        <f t="shared" si="1"/>
        <v>1</v>
      </c>
      <c r="F16" s="4" t="s">
        <v>15</v>
      </c>
      <c r="G16" s="5" t="s">
        <v>31</v>
      </c>
      <c r="H16" s="13">
        <f t="shared" si="2"/>
        <v>2</v>
      </c>
      <c r="I16" s="4" t="s">
        <v>25</v>
      </c>
      <c r="J16" s="8">
        <f t="shared" si="3"/>
        <v>2</v>
      </c>
      <c r="K16" s="4" t="s">
        <v>26</v>
      </c>
      <c r="L16" s="4" t="s">
        <v>41</v>
      </c>
      <c r="M16" s="4" t="s">
        <v>28</v>
      </c>
      <c r="N16" s="4" t="s">
        <v>22</v>
      </c>
      <c r="O16" s="10">
        <f t="shared" si="4"/>
        <v>2</v>
      </c>
      <c r="P16" s="4" t="s">
        <v>21</v>
      </c>
      <c r="Q16" s="10">
        <f t="shared" si="5"/>
        <v>2</v>
      </c>
      <c r="R16" s="4" t="s">
        <v>29</v>
      </c>
      <c r="S16" s="4" t="s">
        <v>22</v>
      </c>
    </row>
    <row r="17" spans="1:19" ht="22.5" customHeight="1" x14ac:dyDescent="0.25">
      <c r="A17" s="3">
        <v>46072.523030787037</v>
      </c>
      <c r="B17" s="4" t="s">
        <v>13</v>
      </c>
      <c r="C17" s="10">
        <f t="shared" si="0"/>
        <v>2</v>
      </c>
      <c r="D17" s="4" t="s">
        <v>14</v>
      </c>
      <c r="E17" s="10">
        <f t="shared" si="1"/>
        <v>1</v>
      </c>
      <c r="F17" s="4" t="s">
        <v>15</v>
      </c>
      <c r="G17" s="4" t="s">
        <v>16</v>
      </c>
      <c r="H17" s="12">
        <f t="shared" si="2"/>
        <v>1</v>
      </c>
      <c r="I17" s="4" t="s">
        <v>25</v>
      </c>
      <c r="J17" s="8">
        <f t="shared" si="3"/>
        <v>2</v>
      </c>
      <c r="K17" s="4" t="s">
        <v>37</v>
      </c>
      <c r="L17" s="4" t="s">
        <v>46</v>
      </c>
      <c r="M17" s="4" t="s">
        <v>28</v>
      </c>
      <c r="N17" s="4" t="s">
        <v>22</v>
      </c>
      <c r="O17" s="10">
        <f t="shared" si="4"/>
        <v>2</v>
      </c>
      <c r="P17" s="4" t="s">
        <v>21</v>
      </c>
      <c r="Q17" s="10">
        <f t="shared" si="5"/>
        <v>2</v>
      </c>
      <c r="R17" s="4" t="s">
        <v>23</v>
      </c>
      <c r="S17" s="4" t="s">
        <v>22</v>
      </c>
    </row>
    <row r="18" spans="1:19" ht="22.5" customHeight="1" x14ac:dyDescent="0.25">
      <c r="A18" s="3">
        <v>46072.523032025463</v>
      </c>
      <c r="B18" s="4" t="s">
        <v>13</v>
      </c>
      <c r="C18" s="10">
        <f t="shared" si="0"/>
        <v>2</v>
      </c>
      <c r="D18" s="4" t="s">
        <v>42</v>
      </c>
      <c r="E18" s="10">
        <f t="shared" si="1"/>
        <v>2</v>
      </c>
      <c r="F18" s="4" t="s">
        <v>30</v>
      </c>
      <c r="G18" s="4" t="s">
        <v>48</v>
      </c>
      <c r="H18" s="12">
        <f t="shared" si="2"/>
        <v>3</v>
      </c>
      <c r="I18" s="4" t="s">
        <v>25</v>
      </c>
      <c r="J18" s="8">
        <f t="shared" si="3"/>
        <v>2</v>
      </c>
      <c r="K18" s="4" t="s">
        <v>49</v>
      </c>
      <c r="L18" s="4" t="s">
        <v>44</v>
      </c>
      <c r="M18" s="4" t="s">
        <v>28</v>
      </c>
      <c r="N18" s="4" t="s">
        <v>21</v>
      </c>
      <c r="O18" s="10">
        <f t="shared" si="4"/>
        <v>1</v>
      </c>
      <c r="P18" s="4" t="s">
        <v>22</v>
      </c>
      <c r="Q18" s="10">
        <f t="shared" si="5"/>
        <v>0</v>
      </c>
      <c r="R18" s="4" t="s">
        <v>23</v>
      </c>
      <c r="S18" s="4" t="s">
        <v>21</v>
      </c>
    </row>
    <row r="19" spans="1:19" ht="22.5" customHeight="1" x14ac:dyDescent="0.25">
      <c r="A19" s="3">
        <v>46072.523032210651</v>
      </c>
      <c r="B19" s="4" t="s">
        <v>13</v>
      </c>
      <c r="C19" s="10">
        <f t="shared" si="0"/>
        <v>2</v>
      </c>
      <c r="D19" s="4" t="s">
        <v>14</v>
      </c>
      <c r="E19" s="10">
        <f t="shared" si="1"/>
        <v>1</v>
      </c>
      <c r="F19" s="4" t="s">
        <v>15</v>
      </c>
      <c r="G19" s="4" t="s">
        <v>16</v>
      </c>
      <c r="H19" s="12">
        <f t="shared" si="2"/>
        <v>1</v>
      </c>
      <c r="I19" s="4" t="s">
        <v>25</v>
      </c>
      <c r="J19" s="8">
        <f t="shared" si="3"/>
        <v>2</v>
      </c>
      <c r="K19" s="4" t="s">
        <v>26</v>
      </c>
      <c r="L19" s="4" t="s">
        <v>54</v>
      </c>
      <c r="M19" s="4" t="s">
        <v>28</v>
      </c>
      <c r="N19" s="4" t="s">
        <v>21</v>
      </c>
      <c r="O19" s="10">
        <f t="shared" si="4"/>
        <v>1</v>
      </c>
      <c r="P19" s="4" t="s">
        <v>21</v>
      </c>
      <c r="Q19" s="10">
        <f t="shared" si="5"/>
        <v>2</v>
      </c>
      <c r="R19" s="4" t="s">
        <v>29</v>
      </c>
      <c r="S19" s="4" t="s">
        <v>22</v>
      </c>
    </row>
    <row r="20" spans="1:19" ht="22.5" customHeight="1" x14ac:dyDescent="0.25">
      <c r="A20" s="3">
        <v>46072.523032430559</v>
      </c>
      <c r="B20" s="4" t="s">
        <v>13</v>
      </c>
      <c r="C20" s="10">
        <f t="shared" si="0"/>
        <v>2</v>
      </c>
      <c r="D20" s="4" t="s">
        <v>42</v>
      </c>
      <c r="E20" s="10">
        <f t="shared" si="1"/>
        <v>2</v>
      </c>
      <c r="F20" s="4" t="s">
        <v>15</v>
      </c>
      <c r="G20" s="4" t="s">
        <v>16</v>
      </c>
      <c r="H20" s="12">
        <f t="shared" si="2"/>
        <v>1</v>
      </c>
      <c r="I20" s="4" t="s">
        <v>25</v>
      </c>
      <c r="J20" s="8">
        <f t="shared" si="3"/>
        <v>2</v>
      </c>
      <c r="K20" s="4" t="s">
        <v>32</v>
      </c>
      <c r="L20" s="4" t="s">
        <v>33</v>
      </c>
      <c r="M20" s="4" t="s">
        <v>28</v>
      </c>
      <c r="N20" s="4" t="s">
        <v>21</v>
      </c>
      <c r="O20" s="10">
        <f t="shared" si="4"/>
        <v>1</v>
      </c>
      <c r="P20" s="4" t="s">
        <v>21</v>
      </c>
      <c r="Q20" s="10">
        <f t="shared" si="5"/>
        <v>2</v>
      </c>
      <c r="R20" s="4" t="s">
        <v>29</v>
      </c>
      <c r="S20" s="4" t="s">
        <v>22</v>
      </c>
    </row>
    <row r="21" spans="1:19" ht="22.5" customHeight="1" x14ac:dyDescent="0.25">
      <c r="A21" s="3">
        <v>46072.523032430559</v>
      </c>
      <c r="B21" s="4" t="s">
        <v>13</v>
      </c>
      <c r="C21" s="10">
        <f t="shared" si="0"/>
        <v>2</v>
      </c>
      <c r="D21" s="4" t="s">
        <v>42</v>
      </c>
      <c r="E21" s="10">
        <f t="shared" si="1"/>
        <v>2</v>
      </c>
      <c r="F21" s="4" t="s">
        <v>15</v>
      </c>
      <c r="G21" s="4" t="s">
        <v>16</v>
      </c>
      <c r="H21" s="12">
        <f t="shared" si="2"/>
        <v>1</v>
      </c>
      <c r="I21" s="4" t="s">
        <v>17</v>
      </c>
      <c r="J21" s="8">
        <f t="shared" si="3"/>
        <v>1</v>
      </c>
      <c r="K21" s="4" t="s">
        <v>26</v>
      </c>
      <c r="L21" s="4" t="s">
        <v>27</v>
      </c>
      <c r="M21" s="4" t="s">
        <v>28</v>
      </c>
      <c r="N21" s="4" t="s">
        <v>22</v>
      </c>
      <c r="O21" s="10">
        <f t="shared" si="4"/>
        <v>2</v>
      </c>
      <c r="P21" s="4" t="s">
        <v>21</v>
      </c>
      <c r="Q21" s="10">
        <f t="shared" si="5"/>
        <v>2</v>
      </c>
      <c r="R21" s="4" t="s">
        <v>29</v>
      </c>
      <c r="S21" s="4" t="s">
        <v>22</v>
      </c>
    </row>
    <row r="22" spans="1:19" ht="22.5" customHeight="1" x14ac:dyDescent="0.25">
      <c r="A22" s="3">
        <v>46072.523032442128</v>
      </c>
      <c r="B22" s="4" t="s">
        <v>13</v>
      </c>
      <c r="C22" s="10">
        <f t="shared" si="0"/>
        <v>2</v>
      </c>
      <c r="D22" s="4" t="s">
        <v>14</v>
      </c>
      <c r="E22" s="10">
        <f t="shared" si="1"/>
        <v>1</v>
      </c>
      <c r="F22" s="4" t="s">
        <v>51</v>
      </c>
      <c r="G22" s="4" t="s">
        <v>16</v>
      </c>
      <c r="H22" s="12">
        <f t="shared" si="2"/>
        <v>1</v>
      </c>
      <c r="I22" s="4" t="s">
        <v>40</v>
      </c>
      <c r="J22" s="8">
        <f t="shared" si="3"/>
        <v>3</v>
      </c>
      <c r="K22" s="4" t="s">
        <v>55</v>
      </c>
      <c r="L22" s="4" t="s">
        <v>44</v>
      </c>
      <c r="M22" s="4" t="s">
        <v>28</v>
      </c>
      <c r="N22" s="4" t="s">
        <v>22</v>
      </c>
      <c r="O22" s="10">
        <f t="shared" si="4"/>
        <v>2</v>
      </c>
      <c r="P22" s="4" t="s">
        <v>34</v>
      </c>
      <c r="Q22" s="10">
        <f t="shared" si="5"/>
        <v>1</v>
      </c>
      <c r="R22" s="4" t="s">
        <v>29</v>
      </c>
      <c r="S22" s="4" t="s">
        <v>22</v>
      </c>
    </row>
    <row r="23" spans="1:19" ht="22.5" customHeight="1" x14ac:dyDescent="0.25">
      <c r="A23" s="3">
        <v>46072.523032604164</v>
      </c>
      <c r="B23" s="4" t="s">
        <v>13</v>
      </c>
      <c r="C23" s="10">
        <f t="shared" si="0"/>
        <v>2</v>
      </c>
      <c r="D23" s="4" t="s">
        <v>14</v>
      </c>
      <c r="E23" s="10">
        <f t="shared" si="1"/>
        <v>1</v>
      </c>
      <c r="F23" s="4" t="s">
        <v>24</v>
      </c>
      <c r="G23" s="4" t="s">
        <v>16</v>
      </c>
      <c r="H23" s="12">
        <f t="shared" si="2"/>
        <v>1</v>
      </c>
      <c r="I23" s="4" t="s">
        <v>25</v>
      </c>
      <c r="J23" s="8">
        <f t="shared" si="3"/>
        <v>2</v>
      </c>
      <c r="K23" s="4" t="s">
        <v>49</v>
      </c>
      <c r="L23" s="4" t="s">
        <v>50</v>
      </c>
      <c r="M23" s="4" t="s">
        <v>28</v>
      </c>
      <c r="N23" s="4" t="s">
        <v>21</v>
      </c>
      <c r="O23" s="10">
        <f t="shared" si="4"/>
        <v>1</v>
      </c>
      <c r="P23" s="4" t="s">
        <v>22</v>
      </c>
      <c r="Q23" s="10">
        <f t="shared" si="5"/>
        <v>0</v>
      </c>
      <c r="R23" s="4" t="s">
        <v>23</v>
      </c>
      <c r="S23" s="4" t="s">
        <v>21</v>
      </c>
    </row>
    <row r="24" spans="1:19" ht="22.5" customHeight="1" x14ac:dyDescent="0.25">
      <c r="A24" s="3">
        <v>46072.523032951387</v>
      </c>
      <c r="B24" s="4" t="s">
        <v>13</v>
      </c>
      <c r="C24" s="10">
        <f t="shared" si="0"/>
        <v>2</v>
      </c>
      <c r="D24" s="4" t="s">
        <v>14</v>
      </c>
      <c r="E24" s="10">
        <f t="shared" si="1"/>
        <v>1</v>
      </c>
      <c r="F24" s="4" t="s">
        <v>24</v>
      </c>
      <c r="G24" s="4" t="s">
        <v>16</v>
      </c>
      <c r="H24" s="12">
        <f t="shared" si="2"/>
        <v>1</v>
      </c>
      <c r="I24" s="4" t="s">
        <v>25</v>
      </c>
      <c r="J24" s="8">
        <f t="shared" si="3"/>
        <v>2</v>
      </c>
      <c r="K24" s="4" t="s">
        <v>26</v>
      </c>
      <c r="L24" s="4" t="s">
        <v>41</v>
      </c>
      <c r="M24" s="4" t="s">
        <v>28</v>
      </c>
      <c r="N24" s="4" t="s">
        <v>21</v>
      </c>
      <c r="O24" s="10">
        <f t="shared" si="4"/>
        <v>1</v>
      </c>
      <c r="P24" s="4" t="s">
        <v>21</v>
      </c>
      <c r="Q24" s="10">
        <f t="shared" si="5"/>
        <v>2</v>
      </c>
      <c r="R24" s="4" t="s">
        <v>29</v>
      </c>
      <c r="S24" s="4" t="s">
        <v>22</v>
      </c>
    </row>
    <row r="25" spans="1:19" ht="22.5" customHeight="1" x14ac:dyDescent="0.25">
      <c r="A25" s="3">
        <v>46072.523033831021</v>
      </c>
      <c r="B25" s="4" t="s">
        <v>56</v>
      </c>
      <c r="C25" s="10">
        <f t="shared" si="0"/>
        <v>3</v>
      </c>
      <c r="D25" s="4" t="s">
        <v>14</v>
      </c>
      <c r="E25" s="10">
        <f t="shared" si="1"/>
        <v>1</v>
      </c>
      <c r="F25" s="4" t="s">
        <v>15</v>
      </c>
      <c r="G25" s="4" t="s">
        <v>16</v>
      </c>
      <c r="H25" s="12">
        <f t="shared" si="2"/>
        <v>1</v>
      </c>
      <c r="I25" s="4" t="s">
        <v>36</v>
      </c>
      <c r="J25" s="8">
        <f t="shared" si="3"/>
        <v>4</v>
      </c>
      <c r="K25" s="4" t="s">
        <v>26</v>
      </c>
      <c r="L25" s="4" t="s">
        <v>53</v>
      </c>
      <c r="M25" s="4" t="s">
        <v>20</v>
      </c>
      <c r="N25" s="4" t="s">
        <v>21</v>
      </c>
      <c r="O25" s="10">
        <f t="shared" si="4"/>
        <v>1</v>
      </c>
      <c r="P25" s="4" t="s">
        <v>21</v>
      </c>
      <c r="Q25" s="10">
        <f t="shared" si="5"/>
        <v>2</v>
      </c>
      <c r="R25" s="4" t="s">
        <v>29</v>
      </c>
      <c r="S25" s="4" t="s">
        <v>22</v>
      </c>
    </row>
    <row r="26" spans="1:19" ht="22.5" customHeight="1" x14ac:dyDescent="0.25">
      <c r="A26" s="3">
        <v>46072.523033831021</v>
      </c>
      <c r="B26" s="4" t="s">
        <v>13</v>
      </c>
      <c r="C26" s="10">
        <f t="shared" si="0"/>
        <v>2</v>
      </c>
      <c r="D26" s="4" t="s">
        <v>14</v>
      </c>
      <c r="E26" s="10">
        <f t="shared" si="1"/>
        <v>1</v>
      </c>
      <c r="F26" s="4" t="s">
        <v>51</v>
      </c>
      <c r="G26" s="5" t="s">
        <v>31</v>
      </c>
      <c r="H26" s="13">
        <f t="shared" si="2"/>
        <v>2</v>
      </c>
      <c r="I26" s="4" t="s">
        <v>25</v>
      </c>
      <c r="J26" s="8">
        <f t="shared" si="3"/>
        <v>2</v>
      </c>
      <c r="K26" s="4" t="s">
        <v>32</v>
      </c>
      <c r="L26" s="4" t="s">
        <v>27</v>
      </c>
      <c r="M26" s="4" t="s">
        <v>28</v>
      </c>
      <c r="N26" s="4" t="s">
        <v>21</v>
      </c>
      <c r="O26" s="10">
        <f t="shared" si="4"/>
        <v>1</v>
      </c>
      <c r="P26" s="4" t="s">
        <v>34</v>
      </c>
      <c r="Q26" s="10">
        <f t="shared" si="5"/>
        <v>1</v>
      </c>
      <c r="R26" s="4" t="s">
        <v>29</v>
      </c>
      <c r="S26" s="4" t="s">
        <v>21</v>
      </c>
    </row>
    <row r="27" spans="1:19" ht="22.5" customHeight="1" x14ac:dyDescent="0.25">
      <c r="A27" s="3">
        <v>46072.523032280093</v>
      </c>
      <c r="B27" s="4" t="s">
        <v>13</v>
      </c>
      <c r="C27" s="10">
        <f t="shared" si="0"/>
        <v>2</v>
      </c>
      <c r="D27" s="4" t="s">
        <v>14</v>
      </c>
      <c r="E27" s="10">
        <f t="shared" si="1"/>
        <v>1</v>
      </c>
      <c r="F27" s="4" t="s">
        <v>57</v>
      </c>
      <c r="G27" s="5" t="s">
        <v>31</v>
      </c>
      <c r="H27" s="13">
        <f t="shared" si="2"/>
        <v>2</v>
      </c>
      <c r="I27" s="4" t="s">
        <v>25</v>
      </c>
      <c r="J27" s="8">
        <f t="shared" si="3"/>
        <v>2</v>
      </c>
      <c r="K27" s="4" t="s">
        <v>18</v>
      </c>
      <c r="L27" s="4" t="s">
        <v>58</v>
      </c>
      <c r="M27" s="4" t="s">
        <v>28</v>
      </c>
      <c r="N27" s="4" t="s">
        <v>22</v>
      </c>
      <c r="O27" s="10">
        <f t="shared" si="4"/>
        <v>2</v>
      </c>
      <c r="P27" s="4" t="s">
        <v>34</v>
      </c>
      <c r="Q27" s="10">
        <f t="shared" si="5"/>
        <v>1</v>
      </c>
      <c r="R27" s="4" t="s">
        <v>47</v>
      </c>
      <c r="S27" s="4" t="s">
        <v>22</v>
      </c>
    </row>
    <row r="28" spans="1:19" ht="22.5" customHeight="1" x14ac:dyDescent="0.25">
      <c r="A28" s="3">
        <v>46072.523036180559</v>
      </c>
      <c r="B28" s="4" t="s">
        <v>13</v>
      </c>
      <c r="C28" s="10">
        <f t="shared" si="0"/>
        <v>2</v>
      </c>
      <c r="D28" s="4" t="s">
        <v>14</v>
      </c>
      <c r="E28" s="10">
        <f t="shared" si="1"/>
        <v>1</v>
      </c>
      <c r="F28" s="4" t="s">
        <v>30</v>
      </c>
      <c r="G28" s="5" t="s">
        <v>31</v>
      </c>
      <c r="H28" s="13">
        <f t="shared" si="2"/>
        <v>2</v>
      </c>
      <c r="I28" s="4" t="s">
        <v>25</v>
      </c>
      <c r="J28" s="8">
        <f t="shared" si="3"/>
        <v>2</v>
      </c>
      <c r="K28" s="4" t="s">
        <v>43</v>
      </c>
      <c r="L28" s="4" t="s">
        <v>58</v>
      </c>
      <c r="M28" s="4" t="s">
        <v>28</v>
      </c>
      <c r="N28" s="4" t="s">
        <v>22</v>
      </c>
      <c r="O28" s="10">
        <f t="shared" si="4"/>
        <v>2</v>
      </c>
      <c r="P28" s="4" t="s">
        <v>21</v>
      </c>
      <c r="Q28" s="10">
        <f t="shared" si="5"/>
        <v>2</v>
      </c>
      <c r="R28" s="4" t="s">
        <v>29</v>
      </c>
      <c r="S28" s="4" t="s">
        <v>22</v>
      </c>
    </row>
    <row r="29" spans="1:19" ht="22.5" customHeight="1" x14ac:dyDescent="0.25">
      <c r="A29" s="3">
        <v>46072.523036157407</v>
      </c>
      <c r="B29" s="4" t="s">
        <v>13</v>
      </c>
      <c r="C29" s="10">
        <f t="shared" si="0"/>
        <v>2</v>
      </c>
      <c r="D29" s="4" t="s">
        <v>14</v>
      </c>
      <c r="E29" s="10">
        <f t="shared" si="1"/>
        <v>1</v>
      </c>
      <c r="F29" s="4" t="s">
        <v>52</v>
      </c>
      <c r="G29" s="4" t="s">
        <v>16</v>
      </c>
      <c r="H29" s="12">
        <f t="shared" si="2"/>
        <v>1</v>
      </c>
      <c r="I29" s="4" t="s">
        <v>40</v>
      </c>
      <c r="J29" s="8">
        <f t="shared" si="3"/>
        <v>3</v>
      </c>
      <c r="K29" s="4" t="s">
        <v>49</v>
      </c>
      <c r="L29" s="4" t="s">
        <v>46</v>
      </c>
      <c r="M29" s="4" t="s">
        <v>20</v>
      </c>
      <c r="N29" s="4" t="s">
        <v>22</v>
      </c>
      <c r="O29" s="10">
        <f t="shared" si="4"/>
        <v>2</v>
      </c>
      <c r="P29" s="4" t="s">
        <v>21</v>
      </c>
      <c r="Q29" s="10">
        <f t="shared" si="5"/>
        <v>2</v>
      </c>
      <c r="R29" s="4" t="s">
        <v>47</v>
      </c>
      <c r="S29" s="4" t="s">
        <v>22</v>
      </c>
    </row>
    <row r="30" spans="1:19" ht="22.5" customHeight="1" x14ac:dyDescent="0.25">
      <c r="A30" s="3">
        <v>46072.523058125</v>
      </c>
      <c r="B30" s="4" t="s">
        <v>13</v>
      </c>
      <c r="C30" s="10">
        <f t="shared" si="0"/>
        <v>2</v>
      </c>
      <c r="D30" s="4" t="s">
        <v>42</v>
      </c>
      <c r="E30" s="10">
        <f t="shared" si="1"/>
        <v>2</v>
      </c>
      <c r="F30" s="4" t="s">
        <v>51</v>
      </c>
      <c r="G30" s="4" t="s">
        <v>48</v>
      </c>
      <c r="H30" s="12">
        <f t="shared" si="2"/>
        <v>3</v>
      </c>
      <c r="I30" s="4" t="s">
        <v>25</v>
      </c>
      <c r="J30" s="8">
        <f t="shared" si="3"/>
        <v>2</v>
      </c>
      <c r="K30" s="4" t="s">
        <v>26</v>
      </c>
      <c r="L30" s="4" t="s">
        <v>45</v>
      </c>
      <c r="M30" s="4" t="s">
        <v>28</v>
      </c>
      <c r="N30" s="4" t="s">
        <v>22</v>
      </c>
      <c r="O30" s="10">
        <f t="shared" si="4"/>
        <v>2</v>
      </c>
      <c r="P30" s="4" t="s">
        <v>34</v>
      </c>
      <c r="Q30" s="10">
        <f t="shared" si="5"/>
        <v>1</v>
      </c>
      <c r="R30" s="4" t="s">
        <v>29</v>
      </c>
      <c r="S30" s="4" t="s">
        <v>22</v>
      </c>
    </row>
    <row r="31" spans="1:19" ht="22.5" customHeight="1" x14ac:dyDescent="0.25">
      <c r="A31" s="3">
        <v>46072.523058206018</v>
      </c>
      <c r="B31" s="4" t="s">
        <v>59</v>
      </c>
      <c r="C31" s="10">
        <f t="shared" si="0"/>
        <v>1</v>
      </c>
      <c r="D31" s="4" t="s">
        <v>14</v>
      </c>
      <c r="E31" s="10">
        <f t="shared" si="1"/>
        <v>1</v>
      </c>
      <c r="F31" s="4" t="s">
        <v>30</v>
      </c>
      <c r="G31" s="5" t="s">
        <v>31</v>
      </c>
      <c r="H31" s="13">
        <f t="shared" si="2"/>
        <v>2</v>
      </c>
      <c r="I31" s="4" t="s">
        <v>17</v>
      </c>
      <c r="J31" s="8">
        <f t="shared" si="3"/>
        <v>1</v>
      </c>
      <c r="K31" s="4" t="s">
        <v>43</v>
      </c>
      <c r="L31" s="4" t="s">
        <v>33</v>
      </c>
      <c r="M31" s="4" t="s">
        <v>28</v>
      </c>
      <c r="N31" s="4" t="s">
        <v>21</v>
      </c>
      <c r="O31" s="10">
        <f t="shared" si="4"/>
        <v>1</v>
      </c>
      <c r="P31" s="4" t="s">
        <v>34</v>
      </c>
      <c r="Q31" s="10">
        <f t="shared" si="5"/>
        <v>1</v>
      </c>
      <c r="R31" s="4" t="s">
        <v>29</v>
      </c>
      <c r="S31" s="4" t="s">
        <v>22</v>
      </c>
    </row>
    <row r="32" spans="1:19" ht="22.5" customHeight="1" x14ac:dyDescent="0.25">
      <c r="A32" s="3">
        <v>46072.52305880787</v>
      </c>
      <c r="B32" s="4" t="s">
        <v>13</v>
      </c>
      <c r="C32" s="10">
        <f t="shared" si="0"/>
        <v>2</v>
      </c>
      <c r="D32" s="4" t="s">
        <v>42</v>
      </c>
      <c r="E32" s="10">
        <f t="shared" si="1"/>
        <v>2</v>
      </c>
      <c r="F32" s="4" t="s">
        <v>24</v>
      </c>
      <c r="G32" s="4" t="s">
        <v>16</v>
      </c>
      <c r="H32" s="12">
        <f t="shared" si="2"/>
        <v>1</v>
      </c>
      <c r="I32" s="4" t="s">
        <v>40</v>
      </c>
      <c r="J32" s="8">
        <f t="shared" si="3"/>
        <v>3</v>
      </c>
      <c r="K32" s="4" t="s">
        <v>26</v>
      </c>
      <c r="L32" s="4" t="s">
        <v>53</v>
      </c>
      <c r="M32" s="4" t="s">
        <v>28</v>
      </c>
      <c r="N32" s="4" t="s">
        <v>21</v>
      </c>
      <c r="O32" s="10">
        <f t="shared" si="4"/>
        <v>1</v>
      </c>
      <c r="P32" s="4" t="s">
        <v>34</v>
      </c>
      <c r="Q32" s="10">
        <f t="shared" si="5"/>
        <v>1</v>
      </c>
      <c r="R32" s="4" t="s">
        <v>47</v>
      </c>
      <c r="S32" s="4" t="s">
        <v>21</v>
      </c>
    </row>
    <row r="33" spans="1:19" ht="22.5" customHeight="1" x14ac:dyDescent="0.25">
      <c r="A33" s="3">
        <v>46072.523058877312</v>
      </c>
      <c r="B33" s="4" t="s">
        <v>56</v>
      </c>
      <c r="C33" s="10">
        <f t="shared" si="0"/>
        <v>3</v>
      </c>
      <c r="D33" s="4" t="s">
        <v>42</v>
      </c>
      <c r="E33" s="10">
        <f t="shared" si="1"/>
        <v>2</v>
      </c>
      <c r="F33" s="4" t="s">
        <v>51</v>
      </c>
      <c r="G33" s="4" t="s">
        <v>16</v>
      </c>
      <c r="H33" s="12">
        <f t="shared" si="2"/>
        <v>1</v>
      </c>
      <c r="I33" s="4" t="s">
        <v>40</v>
      </c>
      <c r="J33" s="8">
        <f t="shared" si="3"/>
        <v>3</v>
      </c>
      <c r="K33" s="4" t="s">
        <v>43</v>
      </c>
      <c r="L33" s="4" t="s">
        <v>19</v>
      </c>
      <c r="M33" s="4" t="s">
        <v>28</v>
      </c>
      <c r="N33" s="4" t="s">
        <v>22</v>
      </c>
      <c r="O33" s="10">
        <f t="shared" si="4"/>
        <v>2</v>
      </c>
      <c r="P33" s="4" t="s">
        <v>21</v>
      </c>
      <c r="Q33" s="10">
        <f t="shared" si="5"/>
        <v>2</v>
      </c>
      <c r="R33" s="4" t="s">
        <v>47</v>
      </c>
      <c r="S33" s="4" t="s">
        <v>21</v>
      </c>
    </row>
    <row r="34" spans="1:19" ht="22.5" customHeight="1" x14ac:dyDescent="0.25">
      <c r="A34" s="3">
        <v>46072.523059293977</v>
      </c>
      <c r="B34" s="4" t="s">
        <v>56</v>
      </c>
      <c r="C34" s="10">
        <f t="shared" ref="C34:C65" si="6">IF(B34="Below 18 years",1,IF(B34="18–25 years",2,IF(B34="25–35 years",3,"")))</f>
        <v>3</v>
      </c>
      <c r="D34" s="4" t="s">
        <v>42</v>
      </c>
      <c r="E34" s="10">
        <f t="shared" ref="E34:E65" si="7">IF(D34="Male",1,IF(D34="Female",2,""))</f>
        <v>2</v>
      </c>
      <c r="F34" s="4" t="s">
        <v>15</v>
      </c>
      <c r="G34" s="5" t="s">
        <v>31</v>
      </c>
      <c r="H34" s="13">
        <f t="shared" ref="H34:H65" si="8">IF(G34="1–2",1,IF(G34="3-5",2,IF(G34="6+",3,"")))</f>
        <v>2</v>
      </c>
      <c r="I34" s="4" t="s">
        <v>25</v>
      </c>
      <c r="J34" s="8">
        <f t="shared" ref="J34:J65" si="9">IF(I34="&lt;1 kg",1,IF(I34="1–2 kg",2,IF(I34="2–5 kg",3,IF(I34="&gt;5 kg",4,""))))</f>
        <v>2</v>
      </c>
      <c r="K34" s="4" t="s">
        <v>26</v>
      </c>
      <c r="L34" s="4" t="s">
        <v>50</v>
      </c>
      <c r="M34" s="4" t="s">
        <v>28</v>
      </c>
      <c r="N34" s="4" t="s">
        <v>21</v>
      </c>
      <c r="O34" s="10">
        <f t="shared" ref="O34:O65" si="10">IF(N34="Yes",1,IF(N34="No",2,""))</f>
        <v>1</v>
      </c>
      <c r="P34" s="4" t="s">
        <v>22</v>
      </c>
      <c r="Q34" s="10">
        <f t="shared" ref="Q34:Q65" si="11">IF(P34="No",0,IF(P34="Not Sure",1,IF(P34="Yes",2,"")))</f>
        <v>0</v>
      </c>
      <c r="R34" s="4" t="s">
        <v>29</v>
      </c>
      <c r="S34" s="4" t="s">
        <v>22</v>
      </c>
    </row>
    <row r="35" spans="1:19" ht="22.5" customHeight="1" x14ac:dyDescent="0.25">
      <c r="A35" s="3">
        <v>46072.523060416672</v>
      </c>
      <c r="B35" s="4" t="s">
        <v>13</v>
      </c>
      <c r="C35" s="10">
        <f t="shared" si="6"/>
        <v>2</v>
      </c>
      <c r="D35" s="4" t="s">
        <v>14</v>
      </c>
      <c r="E35" s="10">
        <f t="shared" si="7"/>
        <v>1</v>
      </c>
      <c r="F35" s="4" t="s">
        <v>57</v>
      </c>
      <c r="G35" s="5" t="s">
        <v>31</v>
      </c>
      <c r="H35" s="13">
        <f t="shared" si="8"/>
        <v>2</v>
      </c>
      <c r="I35" s="4" t="s">
        <v>25</v>
      </c>
      <c r="J35" s="8">
        <f t="shared" si="9"/>
        <v>2</v>
      </c>
      <c r="K35" s="4" t="s">
        <v>49</v>
      </c>
      <c r="L35" s="4" t="s">
        <v>44</v>
      </c>
      <c r="M35" s="4" t="s">
        <v>28</v>
      </c>
      <c r="N35" s="4" t="s">
        <v>22</v>
      </c>
      <c r="O35" s="10">
        <f t="shared" si="10"/>
        <v>2</v>
      </c>
      <c r="P35" s="4" t="s">
        <v>22</v>
      </c>
      <c r="Q35" s="10">
        <f t="shared" si="11"/>
        <v>0</v>
      </c>
      <c r="R35" s="4" t="s">
        <v>29</v>
      </c>
      <c r="S35" s="4" t="s">
        <v>22</v>
      </c>
    </row>
    <row r="36" spans="1:19" ht="22.5" customHeight="1" x14ac:dyDescent="0.25">
      <c r="A36" s="3">
        <v>46072.523215150461</v>
      </c>
      <c r="B36" s="4" t="s">
        <v>13</v>
      </c>
      <c r="C36" s="10">
        <f t="shared" si="6"/>
        <v>2</v>
      </c>
      <c r="D36" s="4" t="s">
        <v>14</v>
      </c>
      <c r="E36" s="10">
        <f t="shared" si="7"/>
        <v>1</v>
      </c>
      <c r="F36" s="4" t="s">
        <v>15</v>
      </c>
      <c r="G36" s="5" t="s">
        <v>31</v>
      </c>
      <c r="H36" s="13">
        <f t="shared" si="8"/>
        <v>2</v>
      </c>
      <c r="I36" s="4" t="s">
        <v>25</v>
      </c>
      <c r="J36" s="8">
        <f t="shared" si="9"/>
        <v>2</v>
      </c>
      <c r="K36" s="4" t="s">
        <v>18</v>
      </c>
      <c r="L36" s="4" t="s">
        <v>38</v>
      </c>
      <c r="M36" s="4" t="s">
        <v>28</v>
      </c>
      <c r="N36" s="4" t="s">
        <v>21</v>
      </c>
      <c r="O36" s="10">
        <f t="shared" si="10"/>
        <v>1</v>
      </c>
      <c r="P36" s="4" t="s">
        <v>34</v>
      </c>
      <c r="Q36" s="10">
        <f t="shared" si="11"/>
        <v>1</v>
      </c>
      <c r="R36" s="4" t="s">
        <v>47</v>
      </c>
      <c r="S36" s="4" t="s">
        <v>22</v>
      </c>
    </row>
    <row r="37" spans="1:19" ht="22.5" customHeight="1" x14ac:dyDescent="0.25">
      <c r="A37" s="3">
        <v>46072.523215983798</v>
      </c>
      <c r="B37" s="4" t="s">
        <v>13</v>
      </c>
      <c r="C37" s="10">
        <f t="shared" si="6"/>
        <v>2</v>
      </c>
      <c r="D37" s="4" t="s">
        <v>42</v>
      </c>
      <c r="E37" s="10">
        <f t="shared" si="7"/>
        <v>2</v>
      </c>
      <c r="F37" s="4" t="s">
        <v>57</v>
      </c>
      <c r="G37" s="4" t="s">
        <v>16</v>
      </c>
      <c r="H37" s="12">
        <f t="shared" si="8"/>
        <v>1</v>
      </c>
      <c r="I37" s="4" t="s">
        <v>25</v>
      </c>
      <c r="J37" s="8">
        <f t="shared" si="9"/>
        <v>2</v>
      </c>
      <c r="K37" s="4" t="s">
        <v>26</v>
      </c>
      <c r="L37" s="4" t="s">
        <v>58</v>
      </c>
      <c r="M37" s="4" t="s">
        <v>28</v>
      </c>
      <c r="N37" s="4" t="s">
        <v>21</v>
      </c>
      <c r="O37" s="10">
        <f t="shared" si="10"/>
        <v>1</v>
      </c>
      <c r="P37" s="4" t="s">
        <v>22</v>
      </c>
      <c r="Q37" s="10">
        <f t="shared" si="11"/>
        <v>0</v>
      </c>
      <c r="R37" s="4" t="s">
        <v>35</v>
      </c>
      <c r="S37" s="4" t="s">
        <v>21</v>
      </c>
    </row>
    <row r="38" spans="1:19" ht="22.5" customHeight="1" x14ac:dyDescent="0.25">
      <c r="A38" s="3">
        <v>46072.523216932866</v>
      </c>
      <c r="B38" s="4" t="s">
        <v>13</v>
      </c>
      <c r="C38" s="10">
        <f t="shared" si="6"/>
        <v>2</v>
      </c>
      <c r="D38" s="4" t="s">
        <v>42</v>
      </c>
      <c r="E38" s="10">
        <f t="shared" si="7"/>
        <v>2</v>
      </c>
      <c r="F38" s="4" t="s">
        <v>15</v>
      </c>
      <c r="G38" s="5" t="s">
        <v>31</v>
      </c>
      <c r="H38" s="13">
        <f t="shared" si="8"/>
        <v>2</v>
      </c>
      <c r="I38" s="4" t="s">
        <v>25</v>
      </c>
      <c r="J38" s="8">
        <f t="shared" si="9"/>
        <v>2</v>
      </c>
      <c r="K38" s="4" t="s">
        <v>18</v>
      </c>
      <c r="L38" s="4" t="s">
        <v>58</v>
      </c>
      <c r="M38" s="4" t="s">
        <v>28</v>
      </c>
      <c r="N38" s="4" t="s">
        <v>22</v>
      </c>
      <c r="O38" s="10">
        <f t="shared" si="10"/>
        <v>2</v>
      </c>
      <c r="P38" s="4" t="s">
        <v>34</v>
      </c>
      <c r="Q38" s="10">
        <f t="shared" si="11"/>
        <v>1</v>
      </c>
      <c r="R38" s="4" t="s">
        <v>35</v>
      </c>
      <c r="S38" s="4" t="s">
        <v>21</v>
      </c>
    </row>
    <row r="39" spans="1:19" ht="22.5" customHeight="1" x14ac:dyDescent="0.25">
      <c r="A39" s="3">
        <v>46072.523216932866</v>
      </c>
      <c r="B39" s="4" t="s">
        <v>13</v>
      </c>
      <c r="C39" s="10">
        <f t="shared" si="6"/>
        <v>2</v>
      </c>
      <c r="D39" s="4" t="s">
        <v>42</v>
      </c>
      <c r="E39" s="10">
        <f t="shared" si="7"/>
        <v>2</v>
      </c>
      <c r="F39" s="4" t="s">
        <v>57</v>
      </c>
      <c r="G39" s="4" t="s">
        <v>48</v>
      </c>
      <c r="H39" s="12">
        <f t="shared" si="8"/>
        <v>3</v>
      </c>
      <c r="I39" s="4" t="s">
        <v>40</v>
      </c>
      <c r="J39" s="8">
        <f t="shared" si="9"/>
        <v>3</v>
      </c>
      <c r="K39" s="4" t="s">
        <v>37</v>
      </c>
      <c r="L39" s="4" t="s">
        <v>53</v>
      </c>
      <c r="M39" s="4" t="s">
        <v>28</v>
      </c>
      <c r="N39" s="4" t="s">
        <v>21</v>
      </c>
      <c r="O39" s="10">
        <f t="shared" si="10"/>
        <v>1</v>
      </c>
      <c r="P39" s="4" t="s">
        <v>21</v>
      </c>
      <c r="Q39" s="10">
        <f t="shared" si="11"/>
        <v>2</v>
      </c>
      <c r="R39" s="4" t="s">
        <v>29</v>
      </c>
      <c r="S39" s="4" t="s">
        <v>21</v>
      </c>
    </row>
    <row r="40" spans="1:19" ht="22.5" customHeight="1" x14ac:dyDescent="0.25">
      <c r="A40" s="3">
        <v>46072.52321694445</v>
      </c>
      <c r="B40" s="4" t="s">
        <v>13</v>
      </c>
      <c r="C40" s="10">
        <f t="shared" si="6"/>
        <v>2</v>
      </c>
      <c r="D40" s="4" t="s">
        <v>42</v>
      </c>
      <c r="E40" s="10">
        <f t="shared" si="7"/>
        <v>2</v>
      </c>
      <c r="F40" s="4" t="s">
        <v>51</v>
      </c>
      <c r="G40" s="4" t="s">
        <v>48</v>
      </c>
      <c r="H40" s="12">
        <f t="shared" si="8"/>
        <v>3</v>
      </c>
      <c r="I40" s="4" t="s">
        <v>25</v>
      </c>
      <c r="J40" s="8">
        <f t="shared" si="9"/>
        <v>2</v>
      </c>
      <c r="K40" s="4" t="s">
        <v>18</v>
      </c>
      <c r="L40" s="4" t="s">
        <v>54</v>
      </c>
      <c r="M40" s="4" t="s">
        <v>28</v>
      </c>
      <c r="N40" s="4" t="s">
        <v>22</v>
      </c>
      <c r="O40" s="10">
        <f t="shared" si="10"/>
        <v>2</v>
      </c>
      <c r="P40" s="4" t="s">
        <v>22</v>
      </c>
      <c r="Q40" s="10">
        <f t="shared" si="11"/>
        <v>0</v>
      </c>
      <c r="R40" s="4" t="s">
        <v>47</v>
      </c>
      <c r="S40" s="4" t="s">
        <v>21</v>
      </c>
    </row>
    <row r="41" spans="1:19" ht="22.5" customHeight="1" x14ac:dyDescent="0.25">
      <c r="A41" s="3">
        <v>46072.523216967587</v>
      </c>
      <c r="B41" s="4" t="s">
        <v>13</v>
      </c>
      <c r="C41" s="10">
        <f t="shared" si="6"/>
        <v>2</v>
      </c>
      <c r="D41" s="4" t="s">
        <v>42</v>
      </c>
      <c r="E41" s="10">
        <f t="shared" si="7"/>
        <v>2</v>
      </c>
      <c r="F41" s="4" t="s">
        <v>15</v>
      </c>
      <c r="G41" s="5" t="s">
        <v>31</v>
      </c>
      <c r="H41" s="13">
        <f t="shared" si="8"/>
        <v>2</v>
      </c>
      <c r="I41" s="4" t="s">
        <v>40</v>
      </c>
      <c r="J41" s="8">
        <f t="shared" si="9"/>
        <v>3</v>
      </c>
      <c r="K41" s="4" t="s">
        <v>26</v>
      </c>
      <c r="L41" s="4" t="s">
        <v>19</v>
      </c>
      <c r="M41" s="4" t="s">
        <v>60</v>
      </c>
      <c r="N41" s="4" t="s">
        <v>21</v>
      </c>
      <c r="O41" s="10">
        <f t="shared" si="10"/>
        <v>1</v>
      </c>
      <c r="P41" s="4" t="s">
        <v>22</v>
      </c>
      <c r="Q41" s="10">
        <f t="shared" si="11"/>
        <v>0</v>
      </c>
      <c r="R41" s="4" t="s">
        <v>29</v>
      </c>
      <c r="S41" s="4" t="s">
        <v>22</v>
      </c>
    </row>
    <row r="42" spans="1:19" ht="22.5" customHeight="1" x14ac:dyDescent="0.25">
      <c r="A42" s="3">
        <v>46072.523217256945</v>
      </c>
      <c r="B42" s="4" t="s">
        <v>13</v>
      </c>
      <c r="C42" s="10">
        <f t="shared" si="6"/>
        <v>2</v>
      </c>
      <c r="D42" s="4" t="s">
        <v>14</v>
      </c>
      <c r="E42" s="10">
        <f t="shared" si="7"/>
        <v>1</v>
      </c>
      <c r="F42" s="4" t="s">
        <v>24</v>
      </c>
      <c r="G42" s="5" t="s">
        <v>31</v>
      </c>
      <c r="H42" s="13">
        <f t="shared" si="8"/>
        <v>2</v>
      </c>
      <c r="I42" s="4" t="s">
        <v>17</v>
      </c>
      <c r="J42" s="8">
        <f t="shared" si="9"/>
        <v>1</v>
      </c>
      <c r="K42" s="4" t="s">
        <v>43</v>
      </c>
      <c r="L42" s="4" t="s">
        <v>46</v>
      </c>
      <c r="M42" s="4" t="s">
        <v>28</v>
      </c>
      <c r="N42" s="4" t="s">
        <v>21</v>
      </c>
      <c r="O42" s="10">
        <f t="shared" si="10"/>
        <v>1</v>
      </c>
      <c r="P42" s="4" t="s">
        <v>22</v>
      </c>
      <c r="Q42" s="10">
        <f t="shared" si="11"/>
        <v>0</v>
      </c>
      <c r="R42" s="4" t="s">
        <v>23</v>
      </c>
      <c r="S42" s="4" t="s">
        <v>21</v>
      </c>
    </row>
    <row r="43" spans="1:19" ht="22.5" customHeight="1" x14ac:dyDescent="0.25">
      <c r="A43" s="3">
        <v>46072.523217210648</v>
      </c>
      <c r="B43" s="4" t="s">
        <v>13</v>
      </c>
      <c r="C43" s="10">
        <f t="shared" si="6"/>
        <v>2</v>
      </c>
      <c r="D43" s="4" t="s">
        <v>42</v>
      </c>
      <c r="E43" s="10">
        <f t="shared" si="7"/>
        <v>2</v>
      </c>
      <c r="F43" s="4" t="s">
        <v>57</v>
      </c>
      <c r="G43" s="4" t="s">
        <v>48</v>
      </c>
      <c r="H43" s="12">
        <f t="shared" si="8"/>
        <v>3</v>
      </c>
      <c r="I43" s="4" t="s">
        <v>25</v>
      </c>
      <c r="J43" s="8">
        <f t="shared" si="9"/>
        <v>2</v>
      </c>
      <c r="K43" s="4" t="s">
        <v>43</v>
      </c>
      <c r="L43" s="4" t="s">
        <v>50</v>
      </c>
      <c r="M43" s="4" t="s">
        <v>28</v>
      </c>
      <c r="N43" s="4" t="s">
        <v>21</v>
      </c>
      <c r="O43" s="10">
        <f t="shared" si="10"/>
        <v>1</v>
      </c>
      <c r="P43" s="4" t="s">
        <v>22</v>
      </c>
      <c r="Q43" s="10">
        <f t="shared" si="11"/>
        <v>0</v>
      </c>
      <c r="R43" s="4" t="s">
        <v>35</v>
      </c>
      <c r="S43" s="4" t="s">
        <v>22</v>
      </c>
    </row>
    <row r="44" spans="1:19" ht="22.5" customHeight="1" x14ac:dyDescent="0.25">
      <c r="A44" s="3">
        <v>46072.523217534719</v>
      </c>
      <c r="B44" s="4" t="s">
        <v>13</v>
      </c>
      <c r="C44" s="10">
        <f t="shared" si="6"/>
        <v>2</v>
      </c>
      <c r="D44" s="4" t="s">
        <v>14</v>
      </c>
      <c r="E44" s="10">
        <f t="shared" si="7"/>
        <v>1</v>
      </c>
      <c r="F44" s="4" t="s">
        <v>30</v>
      </c>
      <c r="G44" s="4" t="s">
        <v>16</v>
      </c>
      <c r="H44" s="12">
        <f t="shared" si="8"/>
        <v>1</v>
      </c>
      <c r="I44" s="4" t="s">
        <v>25</v>
      </c>
      <c r="J44" s="8">
        <f t="shared" si="9"/>
        <v>2</v>
      </c>
      <c r="K44" s="4" t="s">
        <v>37</v>
      </c>
      <c r="L44" s="4" t="s">
        <v>19</v>
      </c>
      <c r="M44" s="4" t="s">
        <v>28</v>
      </c>
      <c r="N44" s="4" t="s">
        <v>22</v>
      </c>
      <c r="O44" s="10">
        <f t="shared" si="10"/>
        <v>2</v>
      </c>
      <c r="P44" s="4" t="s">
        <v>22</v>
      </c>
      <c r="Q44" s="10">
        <f t="shared" si="11"/>
        <v>0</v>
      </c>
      <c r="R44" s="4" t="s">
        <v>29</v>
      </c>
      <c r="S44" s="4" t="s">
        <v>21</v>
      </c>
    </row>
    <row r="45" spans="1:19" ht="22.5" customHeight="1" x14ac:dyDescent="0.25">
      <c r="A45" s="3">
        <v>46072.523217534719</v>
      </c>
      <c r="B45" s="4" t="s">
        <v>13</v>
      </c>
      <c r="C45" s="10">
        <f t="shared" si="6"/>
        <v>2</v>
      </c>
      <c r="D45" s="4" t="s">
        <v>14</v>
      </c>
      <c r="E45" s="10">
        <f t="shared" si="7"/>
        <v>1</v>
      </c>
      <c r="F45" s="4" t="s">
        <v>30</v>
      </c>
      <c r="G45" s="5" t="s">
        <v>31</v>
      </c>
      <c r="H45" s="13">
        <f t="shared" si="8"/>
        <v>2</v>
      </c>
      <c r="I45" s="4" t="s">
        <v>40</v>
      </c>
      <c r="J45" s="8">
        <f t="shared" si="9"/>
        <v>3</v>
      </c>
      <c r="K45" s="4" t="s">
        <v>18</v>
      </c>
      <c r="L45" s="4" t="s">
        <v>45</v>
      </c>
      <c r="M45" s="4" t="s">
        <v>28</v>
      </c>
      <c r="N45" s="4" t="s">
        <v>21</v>
      </c>
      <c r="O45" s="10">
        <f t="shared" si="10"/>
        <v>1</v>
      </c>
      <c r="P45" s="4" t="s">
        <v>34</v>
      </c>
      <c r="Q45" s="10">
        <f t="shared" si="11"/>
        <v>1</v>
      </c>
      <c r="R45" s="4" t="s">
        <v>29</v>
      </c>
      <c r="S45" s="4" t="s">
        <v>22</v>
      </c>
    </row>
    <row r="46" spans="1:19" ht="22.5" customHeight="1" x14ac:dyDescent="0.25">
      <c r="A46" s="3">
        <v>46072.523217534719</v>
      </c>
      <c r="B46" s="4" t="s">
        <v>13</v>
      </c>
      <c r="C46" s="10">
        <f t="shared" si="6"/>
        <v>2</v>
      </c>
      <c r="D46" s="4" t="s">
        <v>42</v>
      </c>
      <c r="E46" s="10">
        <f t="shared" si="7"/>
        <v>2</v>
      </c>
      <c r="F46" s="4" t="s">
        <v>15</v>
      </c>
      <c r="G46" s="4" t="s">
        <v>16</v>
      </c>
      <c r="H46" s="12">
        <f t="shared" si="8"/>
        <v>1</v>
      </c>
      <c r="I46" s="4" t="s">
        <v>25</v>
      </c>
      <c r="J46" s="8">
        <f t="shared" si="9"/>
        <v>2</v>
      </c>
      <c r="K46" s="4" t="s">
        <v>43</v>
      </c>
      <c r="L46" s="4" t="s">
        <v>50</v>
      </c>
      <c r="M46" s="4" t="s">
        <v>28</v>
      </c>
      <c r="N46" s="4" t="s">
        <v>21</v>
      </c>
      <c r="O46" s="10">
        <f t="shared" si="10"/>
        <v>1</v>
      </c>
      <c r="P46" s="4" t="s">
        <v>34</v>
      </c>
      <c r="Q46" s="10">
        <f t="shared" si="11"/>
        <v>1</v>
      </c>
      <c r="R46" s="4" t="s">
        <v>29</v>
      </c>
      <c r="S46" s="4" t="s">
        <v>22</v>
      </c>
    </row>
    <row r="47" spans="1:19" ht="22.5" customHeight="1" x14ac:dyDescent="0.25">
      <c r="A47" s="3">
        <v>46072.523217546295</v>
      </c>
      <c r="B47" s="4" t="s">
        <v>13</v>
      </c>
      <c r="C47" s="10">
        <f t="shared" si="6"/>
        <v>2</v>
      </c>
      <c r="D47" s="4" t="s">
        <v>14</v>
      </c>
      <c r="E47" s="10">
        <f t="shared" si="7"/>
        <v>1</v>
      </c>
      <c r="F47" s="4" t="s">
        <v>15</v>
      </c>
      <c r="G47" s="5" t="s">
        <v>31</v>
      </c>
      <c r="H47" s="13">
        <f t="shared" si="8"/>
        <v>2</v>
      </c>
      <c r="I47" s="4" t="s">
        <v>17</v>
      </c>
      <c r="J47" s="8">
        <f t="shared" si="9"/>
        <v>1</v>
      </c>
      <c r="K47" s="4" t="s">
        <v>37</v>
      </c>
      <c r="L47" s="4" t="s">
        <v>50</v>
      </c>
      <c r="M47" s="4" t="s">
        <v>28</v>
      </c>
      <c r="N47" s="4" t="s">
        <v>21</v>
      </c>
      <c r="O47" s="10">
        <f t="shared" si="10"/>
        <v>1</v>
      </c>
      <c r="P47" s="4" t="s">
        <v>34</v>
      </c>
      <c r="Q47" s="10">
        <f t="shared" si="11"/>
        <v>1</v>
      </c>
      <c r="R47" s="4" t="s">
        <v>35</v>
      </c>
      <c r="S47" s="4" t="s">
        <v>21</v>
      </c>
    </row>
    <row r="48" spans="1:19" ht="22.5" customHeight="1" x14ac:dyDescent="0.25">
      <c r="A48" s="3">
        <v>46072.523217303242</v>
      </c>
      <c r="B48" s="4" t="s">
        <v>13</v>
      </c>
      <c r="C48" s="10">
        <f t="shared" si="6"/>
        <v>2</v>
      </c>
      <c r="D48" s="4" t="s">
        <v>14</v>
      </c>
      <c r="E48" s="10">
        <f t="shared" si="7"/>
        <v>1</v>
      </c>
      <c r="F48" s="4" t="s">
        <v>15</v>
      </c>
      <c r="G48" s="4" t="s">
        <v>16</v>
      </c>
      <c r="H48" s="12">
        <f t="shared" si="8"/>
        <v>1</v>
      </c>
      <c r="I48" s="4" t="s">
        <v>40</v>
      </c>
      <c r="J48" s="8">
        <f t="shared" si="9"/>
        <v>3</v>
      </c>
      <c r="K48" s="4" t="s">
        <v>18</v>
      </c>
      <c r="L48" s="4" t="s">
        <v>46</v>
      </c>
      <c r="M48" s="4" t="s">
        <v>28</v>
      </c>
      <c r="N48" s="4" t="s">
        <v>21</v>
      </c>
      <c r="O48" s="10">
        <f t="shared" si="10"/>
        <v>1</v>
      </c>
      <c r="P48" s="4" t="s">
        <v>34</v>
      </c>
      <c r="Q48" s="10">
        <f t="shared" si="11"/>
        <v>1</v>
      </c>
      <c r="R48" s="4" t="s">
        <v>29</v>
      </c>
      <c r="S48" s="4" t="s">
        <v>21</v>
      </c>
    </row>
    <row r="49" spans="1:19" ht="22.5" customHeight="1" x14ac:dyDescent="0.25">
      <c r="A49" s="3">
        <v>46072.523217719907</v>
      </c>
      <c r="B49" s="4" t="s">
        <v>13</v>
      </c>
      <c r="C49" s="10">
        <f t="shared" si="6"/>
        <v>2</v>
      </c>
      <c r="D49" s="4" t="s">
        <v>42</v>
      </c>
      <c r="E49" s="10">
        <f t="shared" si="7"/>
        <v>2</v>
      </c>
      <c r="F49" s="4" t="s">
        <v>15</v>
      </c>
      <c r="G49" s="5" t="s">
        <v>31</v>
      </c>
      <c r="H49" s="13">
        <f t="shared" si="8"/>
        <v>2</v>
      </c>
      <c r="I49" s="4" t="s">
        <v>40</v>
      </c>
      <c r="J49" s="8">
        <f t="shared" si="9"/>
        <v>3</v>
      </c>
      <c r="K49" s="4" t="s">
        <v>55</v>
      </c>
      <c r="L49" s="4" t="s">
        <v>50</v>
      </c>
      <c r="M49" s="4" t="s">
        <v>28</v>
      </c>
      <c r="N49" s="4" t="s">
        <v>21</v>
      </c>
      <c r="O49" s="10">
        <f t="shared" si="10"/>
        <v>1</v>
      </c>
      <c r="P49" s="4" t="s">
        <v>34</v>
      </c>
      <c r="Q49" s="10">
        <f t="shared" si="11"/>
        <v>1</v>
      </c>
      <c r="R49" s="4" t="s">
        <v>23</v>
      </c>
      <c r="S49" s="4" t="s">
        <v>22</v>
      </c>
    </row>
    <row r="50" spans="1:19" ht="22.5" customHeight="1" x14ac:dyDescent="0.25">
      <c r="A50" s="3">
        <v>46072.523218622686</v>
      </c>
      <c r="B50" s="4" t="s">
        <v>13</v>
      </c>
      <c r="C50" s="10">
        <f t="shared" si="6"/>
        <v>2</v>
      </c>
      <c r="D50" s="4" t="s">
        <v>42</v>
      </c>
      <c r="E50" s="10">
        <f t="shared" si="7"/>
        <v>2</v>
      </c>
      <c r="F50" s="4" t="s">
        <v>51</v>
      </c>
      <c r="G50" s="5" t="s">
        <v>31</v>
      </c>
      <c r="H50" s="13">
        <f t="shared" si="8"/>
        <v>2</v>
      </c>
      <c r="I50" s="4" t="s">
        <v>25</v>
      </c>
      <c r="J50" s="8">
        <f t="shared" si="9"/>
        <v>2</v>
      </c>
      <c r="K50" s="4" t="s">
        <v>49</v>
      </c>
      <c r="L50" s="4" t="s">
        <v>61</v>
      </c>
      <c r="M50" s="4" t="s">
        <v>60</v>
      </c>
      <c r="N50" s="4" t="s">
        <v>21</v>
      </c>
      <c r="O50" s="10">
        <f t="shared" si="10"/>
        <v>1</v>
      </c>
      <c r="P50" s="4" t="s">
        <v>22</v>
      </c>
      <c r="Q50" s="10">
        <f t="shared" si="11"/>
        <v>0</v>
      </c>
      <c r="R50" s="4" t="s">
        <v>29</v>
      </c>
      <c r="S50" s="4" t="s">
        <v>21</v>
      </c>
    </row>
    <row r="51" spans="1:19" ht="22.5" customHeight="1" x14ac:dyDescent="0.25">
      <c r="A51" s="3">
        <v>46072.523218958333</v>
      </c>
      <c r="B51" s="4" t="s">
        <v>13</v>
      </c>
      <c r="C51" s="10">
        <f t="shared" si="6"/>
        <v>2</v>
      </c>
      <c r="D51" s="4" t="s">
        <v>42</v>
      </c>
      <c r="E51" s="10">
        <f t="shared" si="7"/>
        <v>2</v>
      </c>
      <c r="F51" s="4" t="s">
        <v>51</v>
      </c>
      <c r="G51" s="4" t="s">
        <v>16</v>
      </c>
      <c r="H51" s="12">
        <f t="shared" si="8"/>
        <v>1</v>
      </c>
      <c r="I51" s="4" t="s">
        <v>25</v>
      </c>
      <c r="J51" s="8">
        <f t="shared" si="9"/>
        <v>2</v>
      </c>
      <c r="K51" s="4" t="s">
        <v>49</v>
      </c>
      <c r="L51" s="4" t="s">
        <v>54</v>
      </c>
      <c r="M51" s="4" t="s">
        <v>28</v>
      </c>
      <c r="N51" s="4" t="s">
        <v>21</v>
      </c>
      <c r="O51" s="10">
        <f t="shared" si="10"/>
        <v>1</v>
      </c>
      <c r="P51" s="4" t="s">
        <v>21</v>
      </c>
      <c r="Q51" s="10">
        <f t="shared" si="11"/>
        <v>2</v>
      </c>
      <c r="R51" s="4" t="s">
        <v>35</v>
      </c>
      <c r="S51" s="4" t="s">
        <v>21</v>
      </c>
    </row>
    <row r="52" spans="1:19" ht="22.5" customHeight="1" x14ac:dyDescent="0.25">
      <c r="A52" s="3">
        <v>46072.523218969909</v>
      </c>
      <c r="B52" s="4" t="s">
        <v>13</v>
      </c>
      <c r="C52" s="10">
        <f t="shared" si="6"/>
        <v>2</v>
      </c>
      <c r="D52" s="4" t="s">
        <v>14</v>
      </c>
      <c r="E52" s="10">
        <f t="shared" si="7"/>
        <v>1</v>
      </c>
      <c r="F52" s="4" t="s">
        <v>15</v>
      </c>
      <c r="G52" s="4" t="s">
        <v>16</v>
      </c>
      <c r="H52" s="12">
        <f t="shared" si="8"/>
        <v>1</v>
      </c>
      <c r="I52" s="4" t="s">
        <v>40</v>
      </c>
      <c r="J52" s="8">
        <f t="shared" si="9"/>
        <v>3</v>
      </c>
      <c r="K52" s="4" t="s">
        <v>43</v>
      </c>
      <c r="L52" s="4" t="s">
        <v>58</v>
      </c>
      <c r="M52" s="4" t="s">
        <v>28</v>
      </c>
      <c r="N52" s="4" t="s">
        <v>22</v>
      </c>
      <c r="O52" s="10">
        <f t="shared" si="10"/>
        <v>2</v>
      </c>
      <c r="P52" s="4" t="s">
        <v>34</v>
      </c>
      <c r="Q52" s="10">
        <f t="shared" si="11"/>
        <v>1</v>
      </c>
      <c r="R52" s="4" t="s">
        <v>47</v>
      </c>
      <c r="S52" s="4" t="s">
        <v>22</v>
      </c>
    </row>
    <row r="53" spans="1:19" ht="22.5" customHeight="1" x14ac:dyDescent="0.25">
      <c r="A53" s="3">
        <v>46072.52321954861</v>
      </c>
      <c r="B53" s="4" t="s">
        <v>13</v>
      </c>
      <c r="C53" s="10">
        <f t="shared" si="6"/>
        <v>2</v>
      </c>
      <c r="D53" s="4" t="s">
        <v>14</v>
      </c>
      <c r="E53" s="10">
        <f t="shared" si="7"/>
        <v>1</v>
      </c>
      <c r="F53" s="4" t="s">
        <v>24</v>
      </c>
      <c r="G53" s="4" t="s">
        <v>48</v>
      </c>
      <c r="H53" s="12">
        <f t="shared" si="8"/>
        <v>3</v>
      </c>
      <c r="I53" s="4" t="s">
        <v>40</v>
      </c>
      <c r="J53" s="8">
        <f t="shared" si="9"/>
        <v>3</v>
      </c>
      <c r="K53" s="4" t="s">
        <v>37</v>
      </c>
      <c r="L53" s="4" t="s">
        <v>44</v>
      </c>
      <c r="M53" s="4" t="s">
        <v>20</v>
      </c>
      <c r="N53" s="4" t="s">
        <v>21</v>
      </c>
      <c r="O53" s="10">
        <f t="shared" si="10"/>
        <v>1</v>
      </c>
      <c r="P53" s="4" t="s">
        <v>34</v>
      </c>
      <c r="Q53" s="10">
        <f t="shared" si="11"/>
        <v>1</v>
      </c>
      <c r="R53" s="4" t="s">
        <v>29</v>
      </c>
      <c r="S53" s="4" t="s">
        <v>21</v>
      </c>
    </row>
    <row r="54" spans="1:19" ht="22.5" customHeight="1" x14ac:dyDescent="0.25">
      <c r="A54" s="3">
        <v>46072.523220081013</v>
      </c>
      <c r="B54" s="4" t="s">
        <v>13</v>
      </c>
      <c r="C54" s="10">
        <f t="shared" si="6"/>
        <v>2</v>
      </c>
      <c r="D54" s="4" t="s">
        <v>14</v>
      </c>
      <c r="E54" s="10">
        <f t="shared" si="7"/>
        <v>1</v>
      </c>
      <c r="F54" s="4" t="s">
        <v>15</v>
      </c>
      <c r="G54" s="5" t="s">
        <v>31</v>
      </c>
      <c r="H54" s="13">
        <f t="shared" si="8"/>
        <v>2</v>
      </c>
      <c r="I54" s="4" t="s">
        <v>25</v>
      </c>
      <c r="J54" s="8">
        <f t="shared" si="9"/>
        <v>2</v>
      </c>
      <c r="K54" s="4" t="s">
        <v>43</v>
      </c>
      <c r="L54" s="4" t="s">
        <v>19</v>
      </c>
      <c r="M54" s="4" t="s">
        <v>28</v>
      </c>
      <c r="N54" s="4" t="s">
        <v>22</v>
      </c>
      <c r="O54" s="10">
        <f t="shared" si="10"/>
        <v>2</v>
      </c>
      <c r="P54" s="4" t="s">
        <v>22</v>
      </c>
      <c r="Q54" s="10">
        <f t="shared" si="11"/>
        <v>0</v>
      </c>
      <c r="R54" s="4" t="s">
        <v>23</v>
      </c>
      <c r="S54" s="4" t="s">
        <v>22</v>
      </c>
    </row>
    <row r="55" spans="1:19" ht="22.5" customHeight="1" x14ac:dyDescent="0.25">
      <c r="A55" s="3">
        <v>46072.523220081013</v>
      </c>
      <c r="B55" s="4" t="s">
        <v>13</v>
      </c>
      <c r="C55" s="10">
        <f t="shared" si="6"/>
        <v>2</v>
      </c>
      <c r="D55" s="4" t="s">
        <v>14</v>
      </c>
      <c r="E55" s="10">
        <f t="shared" si="7"/>
        <v>1</v>
      </c>
      <c r="F55" s="4" t="s">
        <v>57</v>
      </c>
      <c r="G55" s="5" t="s">
        <v>31</v>
      </c>
      <c r="H55" s="13">
        <f t="shared" si="8"/>
        <v>2</v>
      </c>
      <c r="I55" s="4" t="s">
        <v>25</v>
      </c>
      <c r="J55" s="8">
        <f t="shared" si="9"/>
        <v>2</v>
      </c>
      <c r="K55" s="4" t="s">
        <v>26</v>
      </c>
      <c r="L55" s="4" t="s">
        <v>58</v>
      </c>
      <c r="M55" s="4" t="s">
        <v>28</v>
      </c>
      <c r="N55" s="4" t="s">
        <v>22</v>
      </c>
      <c r="O55" s="10">
        <f t="shared" si="10"/>
        <v>2</v>
      </c>
      <c r="P55" s="4" t="s">
        <v>34</v>
      </c>
      <c r="Q55" s="10">
        <f t="shared" si="11"/>
        <v>1</v>
      </c>
      <c r="R55" s="4" t="s">
        <v>35</v>
      </c>
      <c r="S55" s="4" t="s">
        <v>21</v>
      </c>
    </row>
    <row r="56" spans="1:19" ht="22.5" customHeight="1" x14ac:dyDescent="0.25">
      <c r="A56" s="3">
        <v>46072.523220057876</v>
      </c>
      <c r="B56" s="4" t="s">
        <v>13</v>
      </c>
      <c r="C56" s="10">
        <f t="shared" si="6"/>
        <v>2</v>
      </c>
      <c r="D56" s="4" t="s">
        <v>42</v>
      </c>
      <c r="E56" s="10">
        <f t="shared" si="7"/>
        <v>2</v>
      </c>
      <c r="F56" s="4" t="s">
        <v>24</v>
      </c>
      <c r="G56" s="4" t="s">
        <v>48</v>
      </c>
      <c r="H56" s="12">
        <f t="shared" si="8"/>
        <v>3</v>
      </c>
      <c r="I56" s="4" t="s">
        <v>25</v>
      </c>
      <c r="J56" s="8">
        <f t="shared" si="9"/>
        <v>2</v>
      </c>
      <c r="K56" s="4" t="s">
        <v>32</v>
      </c>
      <c r="L56" s="4" t="s">
        <v>54</v>
      </c>
      <c r="M56" s="4" t="s">
        <v>60</v>
      </c>
      <c r="N56" s="4" t="s">
        <v>21</v>
      </c>
      <c r="O56" s="10">
        <f t="shared" si="10"/>
        <v>1</v>
      </c>
      <c r="P56" s="4" t="s">
        <v>21</v>
      </c>
      <c r="Q56" s="10">
        <f t="shared" si="11"/>
        <v>2</v>
      </c>
      <c r="R56" s="4" t="s">
        <v>29</v>
      </c>
      <c r="S56" s="4" t="s">
        <v>22</v>
      </c>
    </row>
    <row r="57" spans="1:19" ht="22.5" customHeight="1" x14ac:dyDescent="0.25">
      <c r="A57" s="3">
        <v>46072.523220057876</v>
      </c>
      <c r="B57" s="4" t="s">
        <v>56</v>
      </c>
      <c r="C57" s="10">
        <f t="shared" si="6"/>
        <v>3</v>
      </c>
      <c r="D57" s="4" t="s">
        <v>42</v>
      </c>
      <c r="E57" s="10">
        <f t="shared" si="7"/>
        <v>2</v>
      </c>
      <c r="F57" s="4" t="s">
        <v>15</v>
      </c>
      <c r="G57" s="4" t="s">
        <v>16</v>
      </c>
      <c r="H57" s="12">
        <f t="shared" si="8"/>
        <v>1</v>
      </c>
      <c r="I57" s="4" t="s">
        <v>40</v>
      </c>
      <c r="J57" s="8">
        <f t="shared" si="9"/>
        <v>3</v>
      </c>
      <c r="K57" s="4" t="s">
        <v>43</v>
      </c>
      <c r="L57" s="4" t="s">
        <v>45</v>
      </c>
      <c r="M57" s="4" t="s">
        <v>28</v>
      </c>
      <c r="N57" s="4" t="s">
        <v>21</v>
      </c>
      <c r="O57" s="10">
        <f t="shared" si="10"/>
        <v>1</v>
      </c>
      <c r="P57" s="4" t="s">
        <v>34</v>
      </c>
      <c r="Q57" s="10">
        <f t="shared" si="11"/>
        <v>1</v>
      </c>
      <c r="R57" s="4" t="s">
        <v>23</v>
      </c>
      <c r="S57" s="4" t="s">
        <v>22</v>
      </c>
    </row>
    <row r="58" spans="1:19" ht="22.5" customHeight="1" x14ac:dyDescent="0.25">
      <c r="A58" s="3">
        <v>46072.523220115741</v>
      </c>
      <c r="B58" s="4" t="s">
        <v>13</v>
      </c>
      <c r="C58" s="10">
        <f t="shared" si="6"/>
        <v>2</v>
      </c>
      <c r="D58" s="4" t="s">
        <v>14</v>
      </c>
      <c r="E58" s="10">
        <f t="shared" si="7"/>
        <v>1</v>
      </c>
      <c r="F58" s="4" t="s">
        <v>24</v>
      </c>
      <c r="G58" s="4" t="s">
        <v>16</v>
      </c>
      <c r="H58" s="12">
        <f t="shared" si="8"/>
        <v>1</v>
      </c>
      <c r="I58" s="4" t="s">
        <v>25</v>
      </c>
      <c r="J58" s="8">
        <f t="shared" si="9"/>
        <v>2</v>
      </c>
      <c r="K58" s="4" t="s">
        <v>26</v>
      </c>
      <c r="L58" s="4" t="s">
        <v>19</v>
      </c>
      <c r="M58" s="4" t="s">
        <v>28</v>
      </c>
      <c r="N58" s="4" t="s">
        <v>21</v>
      </c>
      <c r="O58" s="10">
        <f t="shared" si="10"/>
        <v>1</v>
      </c>
      <c r="P58" s="4" t="s">
        <v>22</v>
      </c>
      <c r="Q58" s="10">
        <f t="shared" si="11"/>
        <v>0</v>
      </c>
      <c r="R58" s="4" t="s">
        <v>47</v>
      </c>
      <c r="S58" s="4" t="s">
        <v>21</v>
      </c>
    </row>
    <row r="59" spans="1:19" ht="22.5" customHeight="1" x14ac:dyDescent="0.25">
      <c r="A59" s="3">
        <v>46072.523220138886</v>
      </c>
      <c r="B59" s="4" t="s">
        <v>13</v>
      </c>
      <c r="C59" s="10">
        <f t="shared" si="6"/>
        <v>2</v>
      </c>
      <c r="D59" s="4" t="s">
        <v>42</v>
      </c>
      <c r="E59" s="10">
        <f t="shared" si="7"/>
        <v>2</v>
      </c>
      <c r="F59" s="4" t="s">
        <v>15</v>
      </c>
      <c r="G59" s="5" t="s">
        <v>31</v>
      </c>
      <c r="H59" s="13">
        <f t="shared" si="8"/>
        <v>2</v>
      </c>
      <c r="I59" s="4" t="s">
        <v>25</v>
      </c>
      <c r="J59" s="8">
        <f t="shared" si="9"/>
        <v>2</v>
      </c>
      <c r="K59" s="4" t="s">
        <v>37</v>
      </c>
      <c r="L59" s="4" t="s">
        <v>33</v>
      </c>
      <c r="M59" s="4" t="s">
        <v>28</v>
      </c>
      <c r="N59" s="4" t="s">
        <v>21</v>
      </c>
      <c r="O59" s="10">
        <f t="shared" si="10"/>
        <v>1</v>
      </c>
      <c r="P59" s="4" t="s">
        <v>34</v>
      </c>
      <c r="Q59" s="10">
        <f t="shared" si="11"/>
        <v>1</v>
      </c>
      <c r="R59" s="4" t="s">
        <v>23</v>
      </c>
      <c r="S59" s="4" t="s">
        <v>22</v>
      </c>
    </row>
    <row r="60" spans="1:19" ht="22.5" customHeight="1" x14ac:dyDescent="0.25">
      <c r="A60" s="3">
        <v>46072.523220358795</v>
      </c>
      <c r="B60" s="4" t="s">
        <v>13</v>
      </c>
      <c r="C60" s="10">
        <f t="shared" si="6"/>
        <v>2</v>
      </c>
      <c r="D60" s="4" t="s">
        <v>42</v>
      </c>
      <c r="E60" s="10">
        <f t="shared" si="7"/>
        <v>2</v>
      </c>
      <c r="F60" s="4" t="s">
        <v>15</v>
      </c>
      <c r="G60" s="4" t="s">
        <v>16</v>
      </c>
      <c r="H60" s="12">
        <f t="shared" si="8"/>
        <v>1</v>
      </c>
      <c r="I60" s="4" t="s">
        <v>36</v>
      </c>
      <c r="J60" s="8">
        <f t="shared" si="9"/>
        <v>4</v>
      </c>
      <c r="K60" s="4" t="s">
        <v>43</v>
      </c>
      <c r="L60" s="4" t="s">
        <v>19</v>
      </c>
      <c r="M60" s="4" t="s">
        <v>28</v>
      </c>
      <c r="N60" s="4" t="s">
        <v>22</v>
      </c>
      <c r="O60" s="10">
        <f t="shared" si="10"/>
        <v>2</v>
      </c>
      <c r="P60" s="4" t="s">
        <v>22</v>
      </c>
      <c r="Q60" s="10">
        <f t="shared" si="11"/>
        <v>0</v>
      </c>
      <c r="R60" s="4" t="s">
        <v>35</v>
      </c>
      <c r="S60" s="4" t="s">
        <v>21</v>
      </c>
    </row>
    <row r="61" spans="1:19" ht="22.5" customHeight="1" x14ac:dyDescent="0.25">
      <c r="A61" s="3">
        <v>46072.523221400465</v>
      </c>
      <c r="B61" s="4" t="s">
        <v>13</v>
      </c>
      <c r="C61" s="10">
        <f t="shared" si="6"/>
        <v>2</v>
      </c>
      <c r="D61" s="4" t="s">
        <v>42</v>
      </c>
      <c r="E61" s="10">
        <f t="shared" si="7"/>
        <v>2</v>
      </c>
      <c r="F61" s="4" t="s">
        <v>15</v>
      </c>
      <c r="G61" s="5" t="s">
        <v>31</v>
      </c>
      <c r="H61" s="13">
        <f t="shared" si="8"/>
        <v>2</v>
      </c>
      <c r="I61" s="4" t="s">
        <v>25</v>
      </c>
      <c r="J61" s="8">
        <f t="shared" si="9"/>
        <v>2</v>
      </c>
      <c r="K61" s="4" t="s">
        <v>26</v>
      </c>
      <c r="L61" s="4" t="s">
        <v>44</v>
      </c>
      <c r="M61" s="4" t="s">
        <v>20</v>
      </c>
      <c r="N61" s="4" t="s">
        <v>21</v>
      </c>
      <c r="O61" s="10">
        <f t="shared" si="10"/>
        <v>1</v>
      </c>
      <c r="P61" s="4" t="s">
        <v>22</v>
      </c>
      <c r="Q61" s="10">
        <f t="shared" si="11"/>
        <v>0</v>
      </c>
      <c r="R61" s="4" t="s">
        <v>23</v>
      </c>
      <c r="S61" s="4" t="s">
        <v>21</v>
      </c>
    </row>
    <row r="62" spans="1:19" ht="22.5" customHeight="1" x14ac:dyDescent="0.25">
      <c r="A62" s="3">
        <v>46072.523220115741</v>
      </c>
      <c r="B62" s="4" t="s">
        <v>13</v>
      </c>
      <c r="C62" s="10">
        <f t="shared" si="6"/>
        <v>2</v>
      </c>
      <c r="D62" s="4" t="s">
        <v>42</v>
      </c>
      <c r="E62" s="10">
        <f t="shared" si="7"/>
        <v>2</v>
      </c>
      <c r="F62" s="4" t="s">
        <v>24</v>
      </c>
      <c r="G62" s="4" t="s">
        <v>16</v>
      </c>
      <c r="H62" s="12">
        <f t="shared" si="8"/>
        <v>1</v>
      </c>
      <c r="I62" s="4" t="s">
        <v>25</v>
      </c>
      <c r="J62" s="8">
        <f t="shared" si="9"/>
        <v>2</v>
      </c>
      <c r="K62" s="4" t="s">
        <v>26</v>
      </c>
      <c r="L62" s="4" t="s">
        <v>19</v>
      </c>
      <c r="M62" s="4" t="s">
        <v>28</v>
      </c>
      <c r="N62" s="4" t="s">
        <v>21</v>
      </c>
      <c r="O62" s="10">
        <f t="shared" si="10"/>
        <v>1</v>
      </c>
      <c r="P62" s="4" t="s">
        <v>21</v>
      </c>
      <c r="Q62" s="10">
        <f t="shared" si="11"/>
        <v>2</v>
      </c>
      <c r="R62" s="4" t="s">
        <v>29</v>
      </c>
      <c r="S62" s="4" t="s">
        <v>21</v>
      </c>
    </row>
    <row r="63" spans="1:19" ht="22.5" customHeight="1" x14ac:dyDescent="0.25">
      <c r="A63" s="3">
        <v>46072.523222071759</v>
      </c>
      <c r="B63" s="4" t="s">
        <v>13</v>
      </c>
      <c r="C63" s="10">
        <f t="shared" si="6"/>
        <v>2</v>
      </c>
      <c r="D63" s="4" t="s">
        <v>42</v>
      </c>
      <c r="E63" s="10">
        <f t="shared" si="7"/>
        <v>2</v>
      </c>
      <c r="F63" s="4" t="s">
        <v>15</v>
      </c>
      <c r="G63" s="5" t="s">
        <v>31</v>
      </c>
      <c r="H63" s="13">
        <f t="shared" si="8"/>
        <v>2</v>
      </c>
      <c r="I63" s="4" t="s">
        <v>25</v>
      </c>
      <c r="J63" s="8">
        <f t="shared" si="9"/>
        <v>2</v>
      </c>
      <c r="K63" s="4" t="s">
        <v>43</v>
      </c>
      <c r="L63" s="4" t="s">
        <v>19</v>
      </c>
      <c r="M63" s="4" t="s">
        <v>28</v>
      </c>
      <c r="N63" s="4" t="s">
        <v>21</v>
      </c>
      <c r="O63" s="10">
        <f t="shared" si="10"/>
        <v>1</v>
      </c>
      <c r="P63" s="4" t="s">
        <v>22</v>
      </c>
      <c r="Q63" s="10">
        <f t="shared" si="11"/>
        <v>0</v>
      </c>
      <c r="R63" s="4" t="s">
        <v>29</v>
      </c>
      <c r="S63" s="4" t="s">
        <v>22</v>
      </c>
    </row>
    <row r="64" spans="1:19" ht="22.5" customHeight="1" x14ac:dyDescent="0.25">
      <c r="A64" s="3">
        <v>46072.523249039354</v>
      </c>
      <c r="B64" s="4" t="s">
        <v>13</v>
      </c>
      <c r="C64" s="10">
        <f t="shared" si="6"/>
        <v>2</v>
      </c>
      <c r="D64" s="4" t="s">
        <v>14</v>
      </c>
      <c r="E64" s="10">
        <f t="shared" si="7"/>
        <v>1</v>
      </c>
      <c r="F64" s="4" t="s">
        <v>15</v>
      </c>
      <c r="G64" s="5" t="s">
        <v>31</v>
      </c>
      <c r="H64" s="13">
        <f t="shared" si="8"/>
        <v>2</v>
      </c>
      <c r="I64" s="4" t="s">
        <v>25</v>
      </c>
      <c r="J64" s="8">
        <f t="shared" si="9"/>
        <v>2</v>
      </c>
      <c r="K64" s="4" t="s">
        <v>43</v>
      </c>
      <c r="L64" s="4" t="s">
        <v>53</v>
      </c>
      <c r="M64" s="4" t="s">
        <v>20</v>
      </c>
      <c r="N64" s="4" t="s">
        <v>22</v>
      </c>
      <c r="O64" s="10">
        <f t="shared" si="10"/>
        <v>2</v>
      </c>
      <c r="P64" s="4" t="s">
        <v>21</v>
      </c>
      <c r="Q64" s="10">
        <f t="shared" si="11"/>
        <v>2</v>
      </c>
      <c r="R64" s="4" t="s">
        <v>29</v>
      </c>
      <c r="S64" s="4" t="s">
        <v>21</v>
      </c>
    </row>
    <row r="65" spans="1:19" ht="22.5" customHeight="1" x14ac:dyDescent="0.25">
      <c r="A65" s="3">
        <v>46072.523248958329</v>
      </c>
      <c r="B65" s="4" t="s">
        <v>13</v>
      </c>
      <c r="C65" s="10">
        <f t="shared" si="6"/>
        <v>2</v>
      </c>
      <c r="D65" s="4" t="s">
        <v>42</v>
      </c>
      <c r="E65" s="10">
        <f t="shared" si="7"/>
        <v>2</v>
      </c>
      <c r="F65" s="4" t="s">
        <v>15</v>
      </c>
      <c r="G65" s="4" t="s">
        <v>16</v>
      </c>
      <c r="H65" s="12">
        <f t="shared" si="8"/>
        <v>1</v>
      </c>
      <c r="I65" s="4" t="s">
        <v>17</v>
      </c>
      <c r="J65" s="8">
        <f t="shared" si="9"/>
        <v>1</v>
      </c>
      <c r="K65" s="4" t="s">
        <v>32</v>
      </c>
      <c r="L65" s="4" t="s">
        <v>33</v>
      </c>
      <c r="M65" s="4" t="s">
        <v>28</v>
      </c>
      <c r="N65" s="4" t="s">
        <v>21</v>
      </c>
      <c r="O65" s="10">
        <f t="shared" si="10"/>
        <v>1</v>
      </c>
      <c r="P65" s="4" t="s">
        <v>22</v>
      </c>
      <c r="Q65" s="10">
        <f t="shared" si="11"/>
        <v>0</v>
      </c>
      <c r="R65" s="4" t="s">
        <v>29</v>
      </c>
      <c r="S65" s="4" t="s">
        <v>21</v>
      </c>
    </row>
    <row r="66" spans="1:19" ht="22.5" customHeight="1" x14ac:dyDescent="0.25">
      <c r="A66" s="3">
        <v>46072.523249050922</v>
      </c>
      <c r="B66" s="4" t="s">
        <v>59</v>
      </c>
      <c r="C66" s="10">
        <f t="shared" ref="C66:C97" si="12">IF(B66="Below 18 years",1,IF(B66="18–25 years",2,IF(B66="25–35 years",3,"")))</f>
        <v>1</v>
      </c>
      <c r="D66" s="4" t="s">
        <v>42</v>
      </c>
      <c r="E66" s="10">
        <f t="shared" ref="E66:E97" si="13">IF(D66="Male",1,IF(D66="Female",2,""))</f>
        <v>2</v>
      </c>
      <c r="F66" s="4" t="s">
        <v>57</v>
      </c>
      <c r="G66" s="4" t="s">
        <v>48</v>
      </c>
      <c r="H66" s="12">
        <f t="shared" ref="H66:H97" si="14">IF(G66="1–2",1,IF(G66="3-5",2,IF(G66="6+",3,"")))</f>
        <v>3</v>
      </c>
      <c r="I66" s="4" t="s">
        <v>36</v>
      </c>
      <c r="J66" s="8">
        <f t="shared" ref="J66:J97" si="15">IF(I66="&lt;1 kg",1,IF(I66="1–2 kg",2,IF(I66="2–5 kg",3,IF(I66="&gt;5 kg",4,""))))</f>
        <v>4</v>
      </c>
      <c r="K66" s="4" t="s">
        <v>49</v>
      </c>
      <c r="L66" s="4" t="s">
        <v>41</v>
      </c>
      <c r="M66" s="4" t="s">
        <v>28</v>
      </c>
      <c r="N66" s="4" t="s">
        <v>22</v>
      </c>
      <c r="O66" s="10">
        <f t="shared" ref="O66:O97" si="16">IF(N66="Yes",1,IF(N66="No",2,""))</f>
        <v>2</v>
      </c>
      <c r="P66" s="4" t="s">
        <v>21</v>
      </c>
      <c r="Q66" s="10">
        <f t="shared" ref="Q66:Q97" si="17">IF(P66="No",0,IF(P66="Not Sure",1,IF(P66="Yes",2,"")))</f>
        <v>2</v>
      </c>
      <c r="R66" s="4" t="s">
        <v>29</v>
      </c>
      <c r="S66" s="4" t="s">
        <v>22</v>
      </c>
    </row>
    <row r="67" spans="1:19" ht="22.5" customHeight="1" x14ac:dyDescent="0.25">
      <c r="A67" s="3">
        <v>46072.523249421298</v>
      </c>
      <c r="B67" s="4" t="s">
        <v>13</v>
      </c>
      <c r="C67" s="10">
        <f t="shared" si="12"/>
        <v>2</v>
      </c>
      <c r="D67" s="4" t="s">
        <v>42</v>
      </c>
      <c r="E67" s="10">
        <f t="shared" si="13"/>
        <v>2</v>
      </c>
      <c r="F67" s="4" t="s">
        <v>57</v>
      </c>
      <c r="G67" s="5" t="s">
        <v>31</v>
      </c>
      <c r="H67" s="13">
        <f t="shared" si="14"/>
        <v>2</v>
      </c>
      <c r="I67" s="4" t="s">
        <v>17</v>
      </c>
      <c r="J67" s="8">
        <f t="shared" si="15"/>
        <v>1</v>
      </c>
      <c r="K67" s="4" t="s">
        <v>43</v>
      </c>
      <c r="L67" s="4" t="s">
        <v>62</v>
      </c>
      <c r="M67" s="4" t="s">
        <v>28</v>
      </c>
      <c r="N67" s="4" t="s">
        <v>21</v>
      </c>
      <c r="O67" s="10">
        <f t="shared" si="16"/>
        <v>1</v>
      </c>
      <c r="P67" s="4" t="s">
        <v>22</v>
      </c>
      <c r="Q67" s="10">
        <f t="shared" si="17"/>
        <v>0</v>
      </c>
      <c r="R67" s="4" t="s">
        <v>29</v>
      </c>
      <c r="S67" s="4" t="s">
        <v>21</v>
      </c>
    </row>
    <row r="68" spans="1:19" ht="22.5" customHeight="1" x14ac:dyDescent="0.25">
      <c r="A68" s="3">
        <v>46072.523249953709</v>
      </c>
      <c r="B68" s="4" t="s">
        <v>56</v>
      </c>
      <c r="C68" s="10">
        <f t="shared" si="12"/>
        <v>3</v>
      </c>
      <c r="D68" s="4" t="s">
        <v>42</v>
      </c>
      <c r="E68" s="10">
        <f t="shared" si="13"/>
        <v>2</v>
      </c>
      <c r="F68" s="4" t="s">
        <v>51</v>
      </c>
      <c r="G68" s="5" t="s">
        <v>31</v>
      </c>
      <c r="H68" s="13">
        <f t="shared" si="14"/>
        <v>2</v>
      </c>
      <c r="I68" s="4" t="s">
        <v>40</v>
      </c>
      <c r="J68" s="8">
        <f t="shared" si="15"/>
        <v>3</v>
      </c>
      <c r="K68" s="4" t="s">
        <v>26</v>
      </c>
      <c r="L68" s="4" t="s">
        <v>44</v>
      </c>
      <c r="M68" s="4" t="s">
        <v>28</v>
      </c>
      <c r="N68" s="4" t="s">
        <v>22</v>
      </c>
      <c r="O68" s="10">
        <f t="shared" si="16"/>
        <v>2</v>
      </c>
      <c r="P68" s="4" t="s">
        <v>22</v>
      </c>
      <c r="Q68" s="10">
        <f t="shared" si="17"/>
        <v>0</v>
      </c>
      <c r="R68" s="4" t="s">
        <v>23</v>
      </c>
      <c r="S68" s="4" t="s">
        <v>22</v>
      </c>
    </row>
    <row r="69" spans="1:19" ht="22.5" customHeight="1" x14ac:dyDescent="0.25">
      <c r="A69" s="3">
        <v>46072.523250115744</v>
      </c>
      <c r="B69" s="4" t="s">
        <v>13</v>
      </c>
      <c r="C69" s="10">
        <f t="shared" si="12"/>
        <v>2</v>
      </c>
      <c r="D69" s="4" t="s">
        <v>14</v>
      </c>
      <c r="E69" s="10">
        <f t="shared" si="13"/>
        <v>1</v>
      </c>
      <c r="F69" s="4" t="s">
        <v>57</v>
      </c>
      <c r="G69" s="4" t="s">
        <v>16</v>
      </c>
      <c r="H69" s="12">
        <f t="shared" si="14"/>
        <v>1</v>
      </c>
      <c r="I69" s="4" t="s">
        <v>25</v>
      </c>
      <c r="J69" s="8">
        <f t="shared" si="15"/>
        <v>2</v>
      </c>
      <c r="K69" s="4" t="s">
        <v>37</v>
      </c>
      <c r="L69" s="4" t="s">
        <v>19</v>
      </c>
      <c r="M69" s="4" t="s">
        <v>28</v>
      </c>
      <c r="N69" s="4" t="s">
        <v>21</v>
      </c>
      <c r="O69" s="10">
        <f t="shared" si="16"/>
        <v>1</v>
      </c>
      <c r="P69" s="4" t="s">
        <v>22</v>
      </c>
      <c r="Q69" s="10">
        <f t="shared" si="17"/>
        <v>0</v>
      </c>
      <c r="R69" s="4" t="s">
        <v>47</v>
      </c>
      <c r="S69" s="4" t="s">
        <v>22</v>
      </c>
    </row>
    <row r="70" spans="1:19" ht="22.5" customHeight="1" x14ac:dyDescent="0.25">
      <c r="A70" s="3">
        <v>46072.523250115744</v>
      </c>
      <c r="B70" s="4" t="s">
        <v>13</v>
      </c>
      <c r="C70" s="10">
        <f t="shared" si="12"/>
        <v>2</v>
      </c>
      <c r="D70" s="4" t="s">
        <v>42</v>
      </c>
      <c r="E70" s="10">
        <f t="shared" si="13"/>
        <v>2</v>
      </c>
      <c r="F70" s="4" t="s">
        <v>15</v>
      </c>
      <c r="G70" s="5" t="s">
        <v>31</v>
      </c>
      <c r="H70" s="13">
        <f t="shared" si="14"/>
        <v>2</v>
      </c>
      <c r="I70" s="4" t="s">
        <v>36</v>
      </c>
      <c r="J70" s="8">
        <f t="shared" si="15"/>
        <v>4</v>
      </c>
      <c r="K70" s="4" t="s">
        <v>49</v>
      </c>
      <c r="L70" s="4" t="s">
        <v>38</v>
      </c>
      <c r="M70" s="4" t="s">
        <v>28</v>
      </c>
      <c r="N70" s="4" t="s">
        <v>22</v>
      </c>
      <c r="O70" s="10">
        <f t="shared" si="16"/>
        <v>2</v>
      </c>
      <c r="P70" s="4" t="s">
        <v>22</v>
      </c>
      <c r="Q70" s="10">
        <f t="shared" si="17"/>
        <v>0</v>
      </c>
      <c r="R70" s="4" t="s">
        <v>29</v>
      </c>
      <c r="S70" s="4" t="s">
        <v>21</v>
      </c>
    </row>
    <row r="71" spans="1:19" ht="22.5" customHeight="1" x14ac:dyDescent="0.25">
      <c r="A71" s="3">
        <v>46072.523250219907</v>
      </c>
      <c r="B71" s="4" t="s">
        <v>13</v>
      </c>
      <c r="C71" s="10">
        <f t="shared" si="12"/>
        <v>2</v>
      </c>
      <c r="D71" s="4" t="s">
        <v>42</v>
      </c>
      <c r="E71" s="10">
        <f t="shared" si="13"/>
        <v>2</v>
      </c>
      <c r="F71" s="4" t="s">
        <v>57</v>
      </c>
      <c r="G71" s="4" t="s">
        <v>16</v>
      </c>
      <c r="H71" s="12">
        <f t="shared" si="14"/>
        <v>1</v>
      </c>
      <c r="I71" s="4" t="s">
        <v>36</v>
      </c>
      <c r="J71" s="8">
        <f t="shared" si="15"/>
        <v>4</v>
      </c>
      <c r="K71" s="4" t="s">
        <v>43</v>
      </c>
      <c r="L71" s="4" t="s">
        <v>39</v>
      </c>
      <c r="M71" s="4" t="s">
        <v>28</v>
      </c>
      <c r="N71" s="4" t="s">
        <v>22</v>
      </c>
      <c r="O71" s="10">
        <f t="shared" si="16"/>
        <v>2</v>
      </c>
      <c r="P71" s="4" t="s">
        <v>34</v>
      </c>
      <c r="Q71" s="10">
        <f t="shared" si="17"/>
        <v>1</v>
      </c>
      <c r="R71" s="4" t="s">
        <v>23</v>
      </c>
      <c r="S71" s="4" t="s">
        <v>21</v>
      </c>
    </row>
    <row r="72" spans="1:19" ht="22.5" customHeight="1" x14ac:dyDescent="0.25">
      <c r="A72" s="3">
        <v>46072.523932546297</v>
      </c>
      <c r="B72" s="4" t="s">
        <v>13</v>
      </c>
      <c r="C72" s="10">
        <f t="shared" si="12"/>
        <v>2</v>
      </c>
      <c r="D72" s="4" t="s">
        <v>14</v>
      </c>
      <c r="E72" s="10">
        <f t="shared" si="13"/>
        <v>1</v>
      </c>
      <c r="F72" s="4" t="s">
        <v>57</v>
      </c>
      <c r="G72" s="4" t="s">
        <v>16</v>
      </c>
      <c r="H72" s="12">
        <f t="shared" si="14"/>
        <v>1</v>
      </c>
      <c r="I72" s="4" t="s">
        <v>40</v>
      </c>
      <c r="J72" s="8">
        <f t="shared" si="15"/>
        <v>3</v>
      </c>
      <c r="K72" s="4" t="s">
        <v>49</v>
      </c>
      <c r="L72" s="4" t="s">
        <v>61</v>
      </c>
      <c r="M72" s="4" t="s">
        <v>28</v>
      </c>
      <c r="N72" s="4" t="s">
        <v>22</v>
      </c>
      <c r="O72" s="10">
        <f t="shared" si="16"/>
        <v>2</v>
      </c>
      <c r="P72" s="4" t="s">
        <v>22</v>
      </c>
      <c r="Q72" s="10">
        <f t="shared" si="17"/>
        <v>0</v>
      </c>
      <c r="R72" s="4" t="s">
        <v>23</v>
      </c>
      <c r="S72" s="4" t="s">
        <v>22</v>
      </c>
    </row>
    <row r="73" spans="1:19" ht="22.5" customHeight="1" x14ac:dyDescent="0.25">
      <c r="A73" s="3">
        <v>46072.523933414355</v>
      </c>
      <c r="B73" s="4" t="s">
        <v>13</v>
      </c>
      <c r="C73" s="10">
        <f t="shared" si="12"/>
        <v>2</v>
      </c>
      <c r="D73" s="4" t="s">
        <v>42</v>
      </c>
      <c r="E73" s="10">
        <f t="shared" si="13"/>
        <v>2</v>
      </c>
      <c r="F73" s="4" t="s">
        <v>15</v>
      </c>
      <c r="G73" s="5" t="s">
        <v>31</v>
      </c>
      <c r="H73" s="13">
        <f t="shared" si="14"/>
        <v>2</v>
      </c>
      <c r="I73" s="4" t="s">
        <v>17</v>
      </c>
      <c r="J73" s="8">
        <f t="shared" si="15"/>
        <v>1</v>
      </c>
      <c r="K73" s="4" t="s">
        <v>37</v>
      </c>
      <c r="L73" s="4" t="s">
        <v>61</v>
      </c>
      <c r="M73" s="4" t="s">
        <v>28</v>
      </c>
      <c r="N73" s="4" t="s">
        <v>22</v>
      </c>
      <c r="O73" s="10">
        <f t="shared" si="16"/>
        <v>2</v>
      </c>
      <c r="P73" s="4" t="s">
        <v>34</v>
      </c>
      <c r="Q73" s="10">
        <f t="shared" si="17"/>
        <v>1</v>
      </c>
      <c r="R73" s="4" t="s">
        <v>29</v>
      </c>
      <c r="S73" s="4" t="s">
        <v>22</v>
      </c>
    </row>
    <row r="74" spans="1:19" ht="22.5" customHeight="1" x14ac:dyDescent="0.25">
      <c r="A74" s="3">
        <v>46072.523933668985</v>
      </c>
      <c r="B74" s="4" t="s">
        <v>13</v>
      </c>
      <c r="C74" s="10">
        <f t="shared" si="12"/>
        <v>2</v>
      </c>
      <c r="D74" s="4" t="s">
        <v>42</v>
      </c>
      <c r="E74" s="10">
        <f t="shared" si="13"/>
        <v>2</v>
      </c>
      <c r="F74" s="4" t="s">
        <v>51</v>
      </c>
      <c r="G74" s="5" t="s">
        <v>31</v>
      </c>
      <c r="H74" s="13">
        <f t="shared" si="14"/>
        <v>2</v>
      </c>
      <c r="I74" s="4" t="s">
        <v>25</v>
      </c>
      <c r="J74" s="8">
        <f t="shared" si="15"/>
        <v>2</v>
      </c>
      <c r="K74" s="4" t="s">
        <v>37</v>
      </c>
      <c r="L74" s="4" t="s">
        <v>33</v>
      </c>
      <c r="M74" s="4" t="s">
        <v>28</v>
      </c>
      <c r="N74" s="4" t="s">
        <v>22</v>
      </c>
      <c r="O74" s="10">
        <f t="shared" si="16"/>
        <v>2</v>
      </c>
      <c r="P74" s="4" t="s">
        <v>34</v>
      </c>
      <c r="Q74" s="10">
        <f t="shared" si="17"/>
        <v>1</v>
      </c>
      <c r="R74" s="4" t="s">
        <v>29</v>
      </c>
      <c r="S74" s="4" t="s">
        <v>21</v>
      </c>
    </row>
    <row r="75" spans="1:19" ht="22.5" customHeight="1" x14ac:dyDescent="0.25">
      <c r="A75" s="3">
        <v>46072.523933668985</v>
      </c>
      <c r="B75" s="4" t="s">
        <v>13</v>
      </c>
      <c r="C75" s="10">
        <f t="shared" si="12"/>
        <v>2</v>
      </c>
      <c r="D75" s="4" t="s">
        <v>42</v>
      </c>
      <c r="E75" s="10">
        <f t="shared" si="13"/>
        <v>2</v>
      </c>
      <c r="F75" s="4" t="s">
        <v>57</v>
      </c>
      <c r="G75" s="5" t="s">
        <v>31</v>
      </c>
      <c r="H75" s="13">
        <f t="shared" si="14"/>
        <v>2</v>
      </c>
      <c r="I75" s="4" t="s">
        <v>25</v>
      </c>
      <c r="J75" s="8">
        <f t="shared" si="15"/>
        <v>2</v>
      </c>
      <c r="K75" s="4" t="s">
        <v>18</v>
      </c>
      <c r="L75" s="4" t="s">
        <v>19</v>
      </c>
      <c r="M75" s="4" t="s">
        <v>28</v>
      </c>
      <c r="N75" s="4" t="s">
        <v>21</v>
      </c>
      <c r="O75" s="10">
        <f t="shared" si="16"/>
        <v>1</v>
      </c>
      <c r="P75" s="4" t="s">
        <v>34</v>
      </c>
      <c r="Q75" s="10">
        <f t="shared" si="17"/>
        <v>1</v>
      </c>
      <c r="R75" s="4" t="s">
        <v>23</v>
      </c>
      <c r="S75" s="4" t="s">
        <v>21</v>
      </c>
    </row>
    <row r="76" spans="1:19" ht="22.5" customHeight="1" x14ac:dyDescent="0.25">
      <c r="A76" s="3">
        <v>46072.523933703706</v>
      </c>
      <c r="B76" s="4" t="s">
        <v>13</v>
      </c>
      <c r="C76" s="10">
        <f t="shared" si="12"/>
        <v>2</v>
      </c>
      <c r="D76" s="4" t="s">
        <v>42</v>
      </c>
      <c r="E76" s="10">
        <f t="shared" si="13"/>
        <v>2</v>
      </c>
      <c r="F76" s="4" t="s">
        <v>15</v>
      </c>
      <c r="G76" s="4" t="s">
        <v>16</v>
      </c>
      <c r="H76" s="12">
        <f t="shared" si="14"/>
        <v>1</v>
      </c>
      <c r="I76" s="4" t="s">
        <v>17</v>
      </c>
      <c r="J76" s="8">
        <f t="shared" si="15"/>
        <v>1</v>
      </c>
      <c r="K76" s="4" t="s">
        <v>49</v>
      </c>
      <c r="L76" s="4" t="s">
        <v>19</v>
      </c>
      <c r="M76" s="4" t="s">
        <v>28</v>
      </c>
      <c r="N76" s="4" t="s">
        <v>21</v>
      </c>
      <c r="O76" s="10">
        <f t="shared" si="16"/>
        <v>1</v>
      </c>
      <c r="P76" s="4" t="s">
        <v>22</v>
      </c>
      <c r="Q76" s="10">
        <f t="shared" si="17"/>
        <v>0</v>
      </c>
      <c r="R76" s="4" t="s">
        <v>29</v>
      </c>
      <c r="S76" s="4" t="s">
        <v>21</v>
      </c>
    </row>
    <row r="77" spans="1:19" ht="22.5" customHeight="1" x14ac:dyDescent="0.25">
      <c r="A77" s="3">
        <v>46072.523934328703</v>
      </c>
      <c r="B77" s="4" t="s">
        <v>13</v>
      </c>
      <c r="C77" s="10">
        <f t="shared" si="12"/>
        <v>2</v>
      </c>
      <c r="D77" s="4" t="s">
        <v>14</v>
      </c>
      <c r="E77" s="10">
        <f t="shared" si="13"/>
        <v>1</v>
      </c>
      <c r="F77" s="4" t="s">
        <v>15</v>
      </c>
      <c r="G77" s="5" t="s">
        <v>31</v>
      </c>
      <c r="H77" s="13">
        <f t="shared" si="14"/>
        <v>2</v>
      </c>
      <c r="I77" s="4" t="s">
        <v>25</v>
      </c>
      <c r="J77" s="8">
        <f t="shared" si="15"/>
        <v>2</v>
      </c>
      <c r="K77" s="4" t="s">
        <v>18</v>
      </c>
      <c r="L77" s="4" t="s">
        <v>44</v>
      </c>
      <c r="M77" s="4" t="s">
        <v>28</v>
      </c>
      <c r="N77" s="4" t="s">
        <v>21</v>
      </c>
      <c r="O77" s="10">
        <f t="shared" si="16"/>
        <v>1</v>
      </c>
      <c r="P77" s="4" t="s">
        <v>34</v>
      </c>
      <c r="Q77" s="10">
        <f t="shared" si="17"/>
        <v>1</v>
      </c>
      <c r="R77" s="4" t="s">
        <v>23</v>
      </c>
      <c r="S77" s="4" t="s">
        <v>21</v>
      </c>
    </row>
    <row r="78" spans="1:19" ht="22.5" customHeight="1" x14ac:dyDescent="0.25">
      <c r="A78" s="3">
        <v>46072.523934328703</v>
      </c>
      <c r="B78" s="4" t="s">
        <v>13</v>
      </c>
      <c r="C78" s="10">
        <f t="shared" si="12"/>
        <v>2</v>
      </c>
      <c r="D78" s="4" t="s">
        <v>42</v>
      </c>
      <c r="E78" s="10">
        <f t="shared" si="13"/>
        <v>2</v>
      </c>
      <c r="F78" s="4" t="s">
        <v>30</v>
      </c>
      <c r="G78" s="4" t="s">
        <v>48</v>
      </c>
      <c r="H78" s="12">
        <f t="shared" si="14"/>
        <v>3</v>
      </c>
      <c r="I78" s="4" t="s">
        <v>25</v>
      </c>
      <c r="J78" s="8">
        <f t="shared" si="15"/>
        <v>2</v>
      </c>
      <c r="K78" s="4" t="s">
        <v>32</v>
      </c>
      <c r="L78" s="4" t="s">
        <v>54</v>
      </c>
      <c r="M78" s="4" t="s">
        <v>28</v>
      </c>
      <c r="N78" s="4" t="s">
        <v>21</v>
      </c>
      <c r="O78" s="10">
        <f t="shared" si="16"/>
        <v>1</v>
      </c>
      <c r="P78" s="4" t="s">
        <v>21</v>
      </c>
      <c r="Q78" s="10">
        <f t="shared" si="17"/>
        <v>2</v>
      </c>
      <c r="R78" s="4" t="s">
        <v>35</v>
      </c>
      <c r="S78" s="4" t="s">
        <v>22</v>
      </c>
    </row>
    <row r="79" spans="1:19" ht="22.5" customHeight="1" x14ac:dyDescent="0.25">
      <c r="A79" s="3">
        <v>46072.523934340279</v>
      </c>
      <c r="B79" s="4" t="s">
        <v>13</v>
      </c>
      <c r="C79" s="10">
        <f t="shared" si="12"/>
        <v>2</v>
      </c>
      <c r="D79" s="4" t="s">
        <v>42</v>
      </c>
      <c r="E79" s="10">
        <f t="shared" si="13"/>
        <v>2</v>
      </c>
      <c r="F79" s="4" t="s">
        <v>30</v>
      </c>
      <c r="G79" s="5" t="s">
        <v>31</v>
      </c>
      <c r="H79" s="13">
        <f t="shared" si="14"/>
        <v>2</v>
      </c>
      <c r="I79" s="4" t="s">
        <v>25</v>
      </c>
      <c r="J79" s="8">
        <f t="shared" si="15"/>
        <v>2</v>
      </c>
      <c r="K79" s="4" t="s">
        <v>18</v>
      </c>
      <c r="L79" s="4" t="s">
        <v>62</v>
      </c>
      <c r="M79" s="4" t="s">
        <v>28</v>
      </c>
      <c r="N79" s="4" t="s">
        <v>22</v>
      </c>
      <c r="O79" s="10">
        <f t="shared" si="16"/>
        <v>2</v>
      </c>
      <c r="P79" s="4" t="s">
        <v>21</v>
      </c>
      <c r="Q79" s="10">
        <f t="shared" si="17"/>
        <v>2</v>
      </c>
      <c r="R79" s="4" t="s">
        <v>35</v>
      </c>
      <c r="S79" s="4" t="s">
        <v>22</v>
      </c>
    </row>
    <row r="80" spans="1:19" ht="22.5" customHeight="1" x14ac:dyDescent="0.25">
      <c r="A80" s="3">
        <v>46072.523934328703</v>
      </c>
      <c r="B80" s="4" t="s">
        <v>13</v>
      </c>
      <c r="C80" s="10">
        <f t="shared" si="12"/>
        <v>2</v>
      </c>
      <c r="D80" s="4" t="s">
        <v>14</v>
      </c>
      <c r="E80" s="10">
        <f t="shared" si="13"/>
        <v>1</v>
      </c>
      <c r="F80" s="4" t="s">
        <v>57</v>
      </c>
      <c r="G80" s="4" t="s">
        <v>16</v>
      </c>
      <c r="H80" s="12">
        <f t="shared" si="14"/>
        <v>1</v>
      </c>
      <c r="I80" s="4" t="s">
        <v>17</v>
      </c>
      <c r="J80" s="8">
        <f t="shared" si="15"/>
        <v>1</v>
      </c>
      <c r="K80" s="4" t="s">
        <v>26</v>
      </c>
      <c r="L80" s="4" t="s">
        <v>53</v>
      </c>
      <c r="M80" s="4" t="s">
        <v>28</v>
      </c>
      <c r="N80" s="4" t="s">
        <v>22</v>
      </c>
      <c r="O80" s="10">
        <f t="shared" si="16"/>
        <v>2</v>
      </c>
      <c r="P80" s="4" t="s">
        <v>21</v>
      </c>
      <c r="Q80" s="10">
        <f t="shared" si="17"/>
        <v>2</v>
      </c>
      <c r="R80" s="4" t="s">
        <v>23</v>
      </c>
      <c r="S80" s="4" t="s">
        <v>21</v>
      </c>
    </row>
    <row r="81" spans="1:19" ht="22.5" customHeight="1" x14ac:dyDescent="0.25">
      <c r="A81" s="3">
        <v>46072.523934351848</v>
      </c>
      <c r="B81" s="4" t="s">
        <v>13</v>
      </c>
      <c r="C81" s="10">
        <f t="shared" si="12"/>
        <v>2</v>
      </c>
      <c r="D81" s="4" t="s">
        <v>42</v>
      </c>
      <c r="E81" s="10">
        <f t="shared" si="13"/>
        <v>2</v>
      </c>
      <c r="F81" s="4" t="s">
        <v>52</v>
      </c>
      <c r="G81" s="4" t="s">
        <v>16</v>
      </c>
      <c r="H81" s="12">
        <f t="shared" si="14"/>
        <v>1</v>
      </c>
      <c r="I81" s="4" t="s">
        <v>17</v>
      </c>
      <c r="J81" s="8">
        <f t="shared" si="15"/>
        <v>1</v>
      </c>
      <c r="K81" s="4" t="s">
        <v>43</v>
      </c>
      <c r="L81" s="4" t="s">
        <v>38</v>
      </c>
      <c r="M81" s="4" t="s">
        <v>20</v>
      </c>
      <c r="N81" s="4" t="s">
        <v>22</v>
      </c>
      <c r="O81" s="10">
        <f t="shared" si="16"/>
        <v>2</v>
      </c>
      <c r="P81" s="4" t="s">
        <v>34</v>
      </c>
      <c r="Q81" s="10">
        <f t="shared" si="17"/>
        <v>1</v>
      </c>
      <c r="R81" s="4" t="s">
        <v>23</v>
      </c>
      <c r="S81" s="4" t="s">
        <v>21</v>
      </c>
    </row>
    <row r="82" spans="1:19" ht="22.5" customHeight="1" x14ac:dyDescent="0.25">
      <c r="A82" s="3">
        <v>46072.523934432873</v>
      </c>
      <c r="B82" s="4" t="s">
        <v>13</v>
      </c>
      <c r="C82" s="10">
        <f t="shared" si="12"/>
        <v>2</v>
      </c>
      <c r="D82" s="4" t="s">
        <v>42</v>
      </c>
      <c r="E82" s="10">
        <f t="shared" si="13"/>
        <v>2</v>
      </c>
      <c r="F82" s="4" t="s">
        <v>24</v>
      </c>
      <c r="G82" s="5" t="s">
        <v>31</v>
      </c>
      <c r="H82" s="13">
        <f t="shared" si="14"/>
        <v>2</v>
      </c>
      <c r="I82" s="4" t="s">
        <v>40</v>
      </c>
      <c r="J82" s="8">
        <f t="shared" si="15"/>
        <v>3</v>
      </c>
      <c r="K82" s="4" t="s">
        <v>26</v>
      </c>
      <c r="L82" s="4" t="s">
        <v>19</v>
      </c>
      <c r="M82" s="4" t="s">
        <v>28</v>
      </c>
      <c r="N82" s="4" t="s">
        <v>22</v>
      </c>
      <c r="O82" s="10">
        <f t="shared" si="16"/>
        <v>2</v>
      </c>
      <c r="P82" s="4" t="s">
        <v>34</v>
      </c>
      <c r="Q82" s="10">
        <f t="shared" si="17"/>
        <v>1</v>
      </c>
      <c r="R82" s="4" t="s">
        <v>29</v>
      </c>
      <c r="S82" s="4" t="s">
        <v>21</v>
      </c>
    </row>
    <row r="83" spans="1:19" ht="22.5" customHeight="1" x14ac:dyDescent="0.25">
      <c r="A83" s="3">
        <v>46072.523933506949</v>
      </c>
      <c r="B83" s="4" t="s">
        <v>59</v>
      </c>
      <c r="C83" s="10">
        <f t="shared" si="12"/>
        <v>1</v>
      </c>
      <c r="D83" s="4" t="s">
        <v>42</v>
      </c>
      <c r="E83" s="10">
        <f t="shared" si="13"/>
        <v>2</v>
      </c>
      <c r="F83" s="4" t="s">
        <v>15</v>
      </c>
      <c r="G83" s="5" t="s">
        <v>31</v>
      </c>
      <c r="H83" s="13">
        <f t="shared" si="14"/>
        <v>2</v>
      </c>
      <c r="I83" s="4" t="s">
        <v>36</v>
      </c>
      <c r="J83" s="8">
        <f t="shared" si="15"/>
        <v>4</v>
      </c>
      <c r="K83" s="4" t="s">
        <v>43</v>
      </c>
      <c r="L83" s="4" t="s">
        <v>27</v>
      </c>
      <c r="M83" s="4" t="s">
        <v>28</v>
      </c>
      <c r="N83" s="4" t="s">
        <v>21</v>
      </c>
      <c r="O83" s="10">
        <f t="shared" si="16"/>
        <v>1</v>
      </c>
      <c r="P83" s="4" t="s">
        <v>34</v>
      </c>
      <c r="Q83" s="10">
        <f t="shared" si="17"/>
        <v>1</v>
      </c>
      <c r="R83" s="4" t="s">
        <v>47</v>
      </c>
      <c r="S83" s="4" t="s">
        <v>22</v>
      </c>
    </row>
    <row r="84" spans="1:19" ht="22.5" customHeight="1" x14ac:dyDescent="0.25">
      <c r="A84" s="3">
        <v>46072.523934687502</v>
      </c>
      <c r="B84" s="4" t="s">
        <v>13</v>
      </c>
      <c r="C84" s="10">
        <f t="shared" si="12"/>
        <v>2</v>
      </c>
      <c r="D84" s="4" t="s">
        <v>14</v>
      </c>
      <c r="E84" s="10">
        <f t="shared" si="13"/>
        <v>1</v>
      </c>
      <c r="F84" s="4" t="s">
        <v>15</v>
      </c>
      <c r="G84" s="5" t="s">
        <v>31</v>
      </c>
      <c r="H84" s="13">
        <f t="shared" si="14"/>
        <v>2</v>
      </c>
      <c r="I84" s="4" t="s">
        <v>36</v>
      </c>
      <c r="J84" s="8">
        <f t="shared" si="15"/>
        <v>4</v>
      </c>
      <c r="K84" s="4" t="s">
        <v>32</v>
      </c>
      <c r="L84" s="4" t="s">
        <v>27</v>
      </c>
      <c r="M84" s="4" t="s">
        <v>28</v>
      </c>
      <c r="N84" s="4" t="s">
        <v>22</v>
      </c>
      <c r="O84" s="10">
        <f t="shared" si="16"/>
        <v>2</v>
      </c>
      <c r="P84" s="4" t="s">
        <v>34</v>
      </c>
      <c r="Q84" s="10">
        <f t="shared" si="17"/>
        <v>1</v>
      </c>
      <c r="R84" s="4" t="s">
        <v>23</v>
      </c>
      <c r="S84" s="4" t="s">
        <v>22</v>
      </c>
    </row>
    <row r="85" spans="1:19" ht="22.5" customHeight="1" x14ac:dyDescent="0.25">
      <c r="A85" s="3">
        <v>46072.523934699071</v>
      </c>
      <c r="B85" s="4" t="s">
        <v>13</v>
      </c>
      <c r="C85" s="10">
        <f t="shared" si="12"/>
        <v>2</v>
      </c>
      <c r="D85" s="4" t="s">
        <v>42</v>
      </c>
      <c r="E85" s="10">
        <f t="shared" si="13"/>
        <v>2</v>
      </c>
      <c r="F85" s="4" t="s">
        <v>15</v>
      </c>
      <c r="G85" s="4" t="s">
        <v>16</v>
      </c>
      <c r="H85" s="12">
        <f t="shared" si="14"/>
        <v>1</v>
      </c>
      <c r="I85" s="4" t="s">
        <v>36</v>
      </c>
      <c r="J85" s="8">
        <f t="shared" si="15"/>
        <v>4</v>
      </c>
      <c r="K85" s="4" t="s">
        <v>37</v>
      </c>
      <c r="L85" s="4" t="s">
        <v>62</v>
      </c>
      <c r="M85" s="4" t="s">
        <v>28</v>
      </c>
      <c r="N85" s="4" t="s">
        <v>21</v>
      </c>
      <c r="O85" s="10">
        <f t="shared" si="16"/>
        <v>1</v>
      </c>
      <c r="P85" s="4" t="s">
        <v>22</v>
      </c>
      <c r="Q85" s="10">
        <f t="shared" si="17"/>
        <v>0</v>
      </c>
      <c r="R85" s="4" t="s">
        <v>35</v>
      </c>
      <c r="S85" s="4" t="s">
        <v>21</v>
      </c>
    </row>
    <row r="86" spans="1:19" ht="22.5" customHeight="1" x14ac:dyDescent="0.25">
      <c r="A86" s="3">
        <v>46072.523933715274</v>
      </c>
      <c r="B86" s="4" t="s">
        <v>13</v>
      </c>
      <c r="C86" s="10">
        <f t="shared" si="12"/>
        <v>2</v>
      </c>
      <c r="D86" s="4" t="s">
        <v>14</v>
      </c>
      <c r="E86" s="10">
        <f t="shared" si="13"/>
        <v>1</v>
      </c>
      <c r="F86" s="4" t="s">
        <v>24</v>
      </c>
      <c r="G86" s="4" t="s">
        <v>16</v>
      </c>
      <c r="H86" s="12">
        <f t="shared" si="14"/>
        <v>1</v>
      </c>
      <c r="I86" s="4" t="s">
        <v>17</v>
      </c>
      <c r="J86" s="8">
        <f t="shared" si="15"/>
        <v>1</v>
      </c>
      <c r="K86" s="4" t="s">
        <v>49</v>
      </c>
      <c r="L86" s="4" t="s">
        <v>45</v>
      </c>
      <c r="M86" s="4" t="s">
        <v>28</v>
      </c>
      <c r="N86" s="4" t="s">
        <v>22</v>
      </c>
      <c r="O86" s="10">
        <f t="shared" si="16"/>
        <v>2</v>
      </c>
      <c r="P86" s="4" t="s">
        <v>34</v>
      </c>
      <c r="Q86" s="10">
        <f t="shared" si="17"/>
        <v>1</v>
      </c>
      <c r="R86" s="4" t="s">
        <v>29</v>
      </c>
      <c r="S86" s="4" t="s">
        <v>22</v>
      </c>
    </row>
    <row r="87" spans="1:19" ht="22.5" customHeight="1" x14ac:dyDescent="0.25">
      <c r="A87" s="3">
        <v>46072.523935891208</v>
      </c>
      <c r="B87" s="4" t="s">
        <v>13</v>
      </c>
      <c r="C87" s="10">
        <f t="shared" si="12"/>
        <v>2</v>
      </c>
      <c r="D87" s="4" t="s">
        <v>42</v>
      </c>
      <c r="E87" s="10">
        <f t="shared" si="13"/>
        <v>2</v>
      </c>
      <c r="F87" s="4" t="s">
        <v>15</v>
      </c>
      <c r="G87" s="5" t="s">
        <v>31</v>
      </c>
      <c r="H87" s="13">
        <f t="shared" si="14"/>
        <v>2</v>
      </c>
      <c r="I87" s="4" t="s">
        <v>25</v>
      </c>
      <c r="J87" s="8">
        <f t="shared" si="15"/>
        <v>2</v>
      </c>
      <c r="K87" s="4" t="s">
        <v>32</v>
      </c>
      <c r="L87" s="4" t="s">
        <v>19</v>
      </c>
      <c r="M87" s="4" t="s">
        <v>28</v>
      </c>
      <c r="N87" s="4" t="s">
        <v>21</v>
      </c>
      <c r="O87" s="10">
        <f t="shared" si="16"/>
        <v>1</v>
      </c>
      <c r="P87" s="4" t="s">
        <v>22</v>
      </c>
      <c r="Q87" s="10">
        <f t="shared" si="17"/>
        <v>0</v>
      </c>
      <c r="R87" s="4" t="s">
        <v>23</v>
      </c>
      <c r="S87" s="4" t="s">
        <v>21</v>
      </c>
    </row>
    <row r="88" spans="1:19" ht="22.5" customHeight="1" x14ac:dyDescent="0.25">
      <c r="A88" s="3">
        <v>46072.523935868056</v>
      </c>
      <c r="B88" s="4" t="s">
        <v>13</v>
      </c>
      <c r="C88" s="10">
        <f t="shared" si="12"/>
        <v>2</v>
      </c>
      <c r="D88" s="4" t="s">
        <v>42</v>
      </c>
      <c r="E88" s="10">
        <f t="shared" si="13"/>
        <v>2</v>
      </c>
      <c r="F88" s="4" t="s">
        <v>30</v>
      </c>
      <c r="G88" s="4" t="s">
        <v>16</v>
      </c>
      <c r="H88" s="12">
        <f t="shared" si="14"/>
        <v>1</v>
      </c>
      <c r="I88" s="4" t="s">
        <v>25</v>
      </c>
      <c r="J88" s="8">
        <f t="shared" si="15"/>
        <v>2</v>
      </c>
      <c r="K88" s="4" t="s">
        <v>37</v>
      </c>
      <c r="L88" s="4" t="s">
        <v>45</v>
      </c>
      <c r="M88" s="4" t="s">
        <v>28</v>
      </c>
      <c r="N88" s="4" t="s">
        <v>22</v>
      </c>
      <c r="O88" s="10">
        <f t="shared" si="16"/>
        <v>2</v>
      </c>
      <c r="P88" s="4" t="s">
        <v>21</v>
      </c>
      <c r="Q88" s="10">
        <f t="shared" si="17"/>
        <v>2</v>
      </c>
      <c r="R88" s="4" t="s">
        <v>29</v>
      </c>
      <c r="S88" s="4" t="s">
        <v>22</v>
      </c>
    </row>
    <row r="89" spans="1:19" ht="22.5" customHeight="1" x14ac:dyDescent="0.25">
      <c r="A89" s="3">
        <v>46072.523936018522</v>
      </c>
      <c r="B89" s="4" t="s">
        <v>56</v>
      </c>
      <c r="C89" s="10">
        <f t="shared" si="12"/>
        <v>3</v>
      </c>
      <c r="D89" s="4" t="s">
        <v>14</v>
      </c>
      <c r="E89" s="10">
        <f t="shared" si="13"/>
        <v>1</v>
      </c>
      <c r="F89" s="4" t="s">
        <v>57</v>
      </c>
      <c r="G89" s="4" t="s">
        <v>16</v>
      </c>
      <c r="H89" s="12">
        <f t="shared" si="14"/>
        <v>1</v>
      </c>
      <c r="I89" s="4" t="s">
        <v>40</v>
      </c>
      <c r="J89" s="8">
        <f t="shared" si="15"/>
        <v>3</v>
      </c>
      <c r="K89" s="4" t="s">
        <v>37</v>
      </c>
      <c r="L89" s="4" t="s">
        <v>19</v>
      </c>
      <c r="M89" s="4" t="s">
        <v>28</v>
      </c>
      <c r="N89" s="4" t="s">
        <v>21</v>
      </c>
      <c r="O89" s="10">
        <f t="shared" si="16"/>
        <v>1</v>
      </c>
      <c r="P89" s="4" t="s">
        <v>34</v>
      </c>
      <c r="Q89" s="10">
        <f t="shared" si="17"/>
        <v>1</v>
      </c>
      <c r="R89" s="4" t="s">
        <v>29</v>
      </c>
      <c r="S89" s="4" t="s">
        <v>21</v>
      </c>
    </row>
    <row r="90" spans="1:19" ht="22.5" customHeight="1" x14ac:dyDescent="0.25">
      <c r="A90" s="3">
        <v>46072.523935937497</v>
      </c>
      <c r="B90" s="4" t="s">
        <v>13</v>
      </c>
      <c r="C90" s="10">
        <f t="shared" si="12"/>
        <v>2</v>
      </c>
      <c r="D90" s="4" t="s">
        <v>14</v>
      </c>
      <c r="E90" s="10">
        <f t="shared" si="13"/>
        <v>1</v>
      </c>
      <c r="F90" s="4" t="s">
        <v>51</v>
      </c>
      <c r="G90" s="4" t="s">
        <v>48</v>
      </c>
      <c r="H90" s="12">
        <f t="shared" si="14"/>
        <v>3</v>
      </c>
      <c r="I90" s="4" t="s">
        <v>25</v>
      </c>
      <c r="J90" s="8">
        <f t="shared" si="15"/>
        <v>2</v>
      </c>
      <c r="K90" s="4" t="s">
        <v>43</v>
      </c>
      <c r="L90" s="4" t="s">
        <v>38</v>
      </c>
      <c r="M90" s="4" t="s">
        <v>28</v>
      </c>
      <c r="N90" s="4" t="s">
        <v>21</v>
      </c>
      <c r="O90" s="10">
        <f t="shared" si="16"/>
        <v>1</v>
      </c>
      <c r="P90" s="4" t="s">
        <v>22</v>
      </c>
      <c r="Q90" s="10">
        <f t="shared" si="17"/>
        <v>0</v>
      </c>
      <c r="R90" s="4" t="s">
        <v>29</v>
      </c>
      <c r="S90" s="4" t="s">
        <v>21</v>
      </c>
    </row>
    <row r="91" spans="1:19" ht="22.5" customHeight="1" x14ac:dyDescent="0.25">
      <c r="A91" s="3">
        <v>46072.523936018522</v>
      </c>
      <c r="B91" s="4" t="s">
        <v>13</v>
      </c>
      <c r="C91" s="10">
        <f t="shared" si="12"/>
        <v>2</v>
      </c>
      <c r="D91" s="4" t="s">
        <v>14</v>
      </c>
      <c r="E91" s="10">
        <f t="shared" si="13"/>
        <v>1</v>
      </c>
      <c r="F91" s="4" t="s">
        <v>15</v>
      </c>
      <c r="G91" s="5" t="s">
        <v>31</v>
      </c>
      <c r="H91" s="13">
        <f t="shared" si="14"/>
        <v>2</v>
      </c>
      <c r="I91" s="4" t="s">
        <v>25</v>
      </c>
      <c r="J91" s="8">
        <f t="shared" si="15"/>
        <v>2</v>
      </c>
      <c r="K91" s="4" t="s">
        <v>43</v>
      </c>
      <c r="L91" s="4" t="s">
        <v>41</v>
      </c>
      <c r="M91" s="4" t="s">
        <v>28</v>
      </c>
      <c r="N91" s="4" t="s">
        <v>22</v>
      </c>
      <c r="O91" s="10">
        <f t="shared" si="16"/>
        <v>2</v>
      </c>
      <c r="P91" s="4" t="s">
        <v>34</v>
      </c>
      <c r="Q91" s="10">
        <f t="shared" si="17"/>
        <v>1</v>
      </c>
      <c r="R91" s="4" t="s">
        <v>29</v>
      </c>
      <c r="S91" s="4" t="s">
        <v>22</v>
      </c>
    </row>
    <row r="92" spans="1:19" ht="22.5" customHeight="1" x14ac:dyDescent="0.25">
      <c r="A92" s="3">
        <v>46072.523962384264</v>
      </c>
      <c r="B92" s="4" t="s">
        <v>13</v>
      </c>
      <c r="C92" s="10">
        <f t="shared" si="12"/>
        <v>2</v>
      </c>
      <c r="D92" s="4" t="s">
        <v>14</v>
      </c>
      <c r="E92" s="10">
        <f t="shared" si="13"/>
        <v>1</v>
      </c>
      <c r="F92" s="4" t="s">
        <v>51</v>
      </c>
      <c r="G92" s="4" t="s">
        <v>16</v>
      </c>
      <c r="H92" s="12">
        <f t="shared" si="14"/>
        <v>1</v>
      </c>
      <c r="I92" s="4" t="s">
        <v>25</v>
      </c>
      <c r="J92" s="8">
        <f t="shared" si="15"/>
        <v>2</v>
      </c>
      <c r="K92" s="4" t="s">
        <v>43</v>
      </c>
      <c r="L92" s="4" t="s">
        <v>27</v>
      </c>
      <c r="M92" s="4" t="s">
        <v>28</v>
      </c>
      <c r="N92" s="4" t="s">
        <v>22</v>
      </c>
      <c r="O92" s="10">
        <f t="shared" si="16"/>
        <v>2</v>
      </c>
      <c r="P92" s="4" t="s">
        <v>21</v>
      </c>
      <c r="Q92" s="10">
        <f t="shared" si="17"/>
        <v>2</v>
      </c>
      <c r="R92" s="4" t="s">
        <v>29</v>
      </c>
      <c r="S92" s="4" t="s">
        <v>21</v>
      </c>
    </row>
    <row r="93" spans="1:19" ht="22.5" customHeight="1" x14ac:dyDescent="0.25">
      <c r="A93" s="3">
        <v>46072.523962129635</v>
      </c>
      <c r="B93" s="4" t="s">
        <v>13</v>
      </c>
      <c r="C93" s="10">
        <f t="shared" si="12"/>
        <v>2</v>
      </c>
      <c r="D93" s="4" t="s">
        <v>42</v>
      </c>
      <c r="E93" s="10">
        <f t="shared" si="13"/>
        <v>2</v>
      </c>
      <c r="F93" s="4" t="s">
        <v>51</v>
      </c>
      <c r="G93" s="5" t="s">
        <v>31</v>
      </c>
      <c r="H93" s="13">
        <f t="shared" si="14"/>
        <v>2</v>
      </c>
      <c r="I93" s="4" t="s">
        <v>25</v>
      </c>
      <c r="J93" s="8">
        <f t="shared" si="15"/>
        <v>2</v>
      </c>
      <c r="K93" s="4" t="s">
        <v>49</v>
      </c>
      <c r="L93" s="4" t="s">
        <v>53</v>
      </c>
      <c r="M93" s="4" t="s">
        <v>28</v>
      </c>
      <c r="N93" s="4" t="s">
        <v>22</v>
      </c>
      <c r="O93" s="10">
        <f t="shared" si="16"/>
        <v>2</v>
      </c>
      <c r="P93" s="4" t="s">
        <v>34</v>
      </c>
      <c r="Q93" s="10">
        <f t="shared" si="17"/>
        <v>1</v>
      </c>
      <c r="R93" s="4" t="s">
        <v>29</v>
      </c>
      <c r="S93" s="4" t="s">
        <v>21</v>
      </c>
    </row>
    <row r="94" spans="1:19" ht="22.5" customHeight="1" x14ac:dyDescent="0.25">
      <c r="A94" s="3">
        <v>46072.523964652777</v>
      </c>
      <c r="B94" s="4" t="s">
        <v>13</v>
      </c>
      <c r="C94" s="10">
        <f t="shared" si="12"/>
        <v>2</v>
      </c>
      <c r="D94" s="4" t="s">
        <v>42</v>
      </c>
      <c r="E94" s="10">
        <f t="shared" si="13"/>
        <v>2</v>
      </c>
      <c r="F94" s="4" t="s">
        <v>15</v>
      </c>
      <c r="G94" s="4" t="s">
        <v>48</v>
      </c>
      <c r="H94" s="12">
        <f t="shared" si="14"/>
        <v>3</v>
      </c>
      <c r="I94" s="4" t="s">
        <v>25</v>
      </c>
      <c r="J94" s="8">
        <f t="shared" si="15"/>
        <v>2</v>
      </c>
      <c r="K94" s="4" t="s">
        <v>43</v>
      </c>
      <c r="L94" s="4" t="s">
        <v>44</v>
      </c>
      <c r="M94" s="4" t="s">
        <v>28</v>
      </c>
      <c r="N94" s="4" t="s">
        <v>21</v>
      </c>
      <c r="O94" s="10">
        <f t="shared" si="16"/>
        <v>1</v>
      </c>
      <c r="P94" s="4" t="s">
        <v>22</v>
      </c>
      <c r="Q94" s="10">
        <f t="shared" si="17"/>
        <v>0</v>
      </c>
      <c r="R94" s="4" t="s">
        <v>29</v>
      </c>
      <c r="S94" s="4" t="s">
        <v>22</v>
      </c>
    </row>
    <row r="95" spans="1:19" ht="22.5" customHeight="1" x14ac:dyDescent="0.25">
      <c r="A95" s="3">
        <v>46072.523964664353</v>
      </c>
      <c r="B95" s="4" t="s">
        <v>13</v>
      </c>
      <c r="C95" s="10">
        <f t="shared" si="12"/>
        <v>2</v>
      </c>
      <c r="D95" s="4" t="s">
        <v>14</v>
      </c>
      <c r="E95" s="10">
        <f t="shared" si="13"/>
        <v>1</v>
      </c>
      <c r="F95" s="4" t="s">
        <v>24</v>
      </c>
      <c r="G95" s="4" t="s">
        <v>16</v>
      </c>
      <c r="H95" s="12">
        <f t="shared" si="14"/>
        <v>1</v>
      </c>
      <c r="I95" s="4" t="s">
        <v>25</v>
      </c>
      <c r="J95" s="8">
        <f t="shared" si="15"/>
        <v>2</v>
      </c>
      <c r="K95" s="4" t="s">
        <v>26</v>
      </c>
      <c r="L95" s="4" t="s">
        <v>45</v>
      </c>
      <c r="M95" s="4" t="s">
        <v>28</v>
      </c>
      <c r="N95" s="4" t="s">
        <v>21</v>
      </c>
      <c r="O95" s="10">
        <f t="shared" si="16"/>
        <v>1</v>
      </c>
      <c r="P95" s="4" t="s">
        <v>34</v>
      </c>
      <c r="Q95" s="10">
        <f t="shared" si="17"/>
        <v>1</v>
      </c>
      <c r="R95" s="4" t="s">
        <v>23</v>
      </c>
      <c r="S95" s="4" t="s">
        <v>21</v>
      </c>
    </row>
    <row r="96" spans="1:19" ht="22.5" customHeight="1" x14ac:dyDescent="0.25">
      <c r="A96" s="3">
        <v>46072.523964814813</v>
      </c>
      <c r="B96" s="4" t="s">
        <v>13</v>
      </c>
      <c r="C96" s="10">
        <f t="shared" si="12"/>
        <v>2</v>
      </c>
      <c r="D96" s="4" t="s">
        <v>14</v>
      </c>
      <c r="E96" s="10">
        <f t="shared" si="13"/>
        <v>1</v>
      </c>
      <c r="F96" s="4" t="s">
        <v>15</v>
      </c>
      <c r="G96" s="4" t="s">
        <v>16</v>
      </c>
      <c r="H96" s="12">
        <f t="shared" si="14"/>
        <v>1</v>
      </c>
      <c r="I96" s="4" t="s">
        <v>25</v>
      </c>
      <c r="J96" s="8">
        <f t="shared" si="15"/>
        <v>2</v>
      </c>
      <c r="K96" s="4" t="s">
        <v>49</v>
      </c>
      <c r="L96" s="4" t="s">
        <v>39</v>
      </c>
      <c r="M96" s="4" t="s">
        <v>28</v>
      </c>
      <c r="N96" s="4" t="s">
        <v>21</v>
      </c>
      <c r="O96" s="10">
        <f t="shared" si="16"/>
        <v>1</v>
      </c>
      <c r="P96" s="4" t="s">
        <v>21</v>
      </c>
      <c r="Q96" s="10">
        <f t="shared" si="17"/>
        <v>2</v>
      </c>
      <c r="R96" s="4" t="s">
        <v>29</v>
      </c>
      <c r="S96" s="4" t="s">
        <v>22</v>
      </c>
    </row>
    <row r="97" spans="1:19" ht="22.5" customHeight="1" x14ac:dyDescent="0.25">
      <c r="A97" s="3">
        <v>46072.524923287041</v>
      </c>
      <c r="B97" s="4" t="s">
        <v>13</v>
      </c>
      <c r="C97" s="10">
        <f t="shared" si="12"/>
        <v>2</v>
      </c>
      <c r="D97" s="4" t="s">
        <v>42</v>
      </c>
      <c r="E97" s="10">
        <f t="shared" si="13"/>
        <v>2</v>
      </c>
      <c r="F97" s="4" t="s">
        <v>51</v>
      </c>
      <c r="G97" s="5" t="s">
        <v>31</v>
      </c>
      <c r="H97" s="13">
        <f t="shared" si="14"/>
        <v>2</v>
      </c>
      <c r="I97" s="4" t="s">
        <v>17</v>
      </c>
      <c r="J97" s="8">
        <f t="shared" si="15"/>
        <v>1</v>
      </c>
      <c r="K97" s="4" t="s">
        <v>26</v>
      </c>
      <c r="L97" s="4" t="s">
        <v>44</v>
      </c>
      <c r="M97" s="4" t="s">
        <v>28</v>
      </c>
      <c r="N97" s="4" t="s">
        <v>21</v>
      </c>
      <c r="O97" s="10">
        <f t="shared" si="16"/>
        <v>1</v>
      </c>
      <c r="P97" s="4" t="s">
        <v>21</v>
      </c>
      <c r="Q97" s="10">
        <f t="shared" si="17"/>
        <v>2</v>
      </c>
      <c r="R97" s="4" t="s">
        <v>23</v>
      </c>
      <c r="S97" s="4" t="s">
        <v>22</v>
      </c>
    </row>
    <row r="98" spans="1:19" ht="22.5" customHeight="1" x14ac:dyDescent="0.25">
      <c r="A98" s="3">
        <v>46072.525514374996</v>
      </c>
      <c r="B98" s="4" t="s">
        <v>13</v>
      </c>
      <c r="C98" s="10">
        <f t="shared" ref="C98:C129" si="18">IF(B98="Below 18 years",1,IF(B98="18–25 years",2,IF(B98="25–35 years",3,"")))</f>
        <v>2</v>
      </c>
      <c r="D98" s="4" t="s">
        <v>14</v>
      </c>
      <c r="E98" s="10">
        <f t="shared" ref="E98:E129" si="19">IF(D98="Male",1,IF(D98="Female",2,""))</f>
        <v>1</v>
      </c>
      <c r="F98" s="4" t="s">
        <v>15</v>
      </c>
      <c r="G98" s="5" t="s">
        <v>31</v>
      </c>
      <c r="H98" s="13">
        <f t="shared" ref="H98:H129" si="20">IF(G98="1–2",1,IF(G98="3-5",2,IF(G98="6+",3,"")))</f>
        <v>2</v>
      </c>
      <c r="I98" s="4" t="s">
        <v>17</v>
      </c>
      <c r="J98" s="8">
        <f t="shared" ref="J98:J129" si="21">IF(I98="&lt;1 kg",1,IF(I98="1–2 kg",2,IF(I98="2–5 kg",3,IF(I98="&gt;5 kg",4,""))))</f>
        <v>1</v>
      </c>
      <c r="K98" s="4" t="s">
        <v>49</v>
      </c>
      <c r="L98" s="4" t="s">
        <v>38</v>
      </c>
      <c r="M98" s="4" t="s">
        <v>28</v>
      </c>
      <c r="N98" s="4" t="s">
        <v>22</v>
      </c>
      <c r="O98" s="10">
        <f t="shared" ref="O98:O129" si="22">IF(N98="Yes",1,IF(N98="No",2,""))</f>
        <v>2</v>
      </c>
      <c r="P98" s="4" t="s">
        <v>21</v>
      </c>
      <c r="Q98" s="10">
        <f t="shared" ref="Q98:Q129" si="23">IF(P98="No",0,IF(P98="Not Sure",1,IF(P98="Yes",2,"")))</f>
        <v>2</v>
      </c>
      <c r="R98" s="4" t="s">
        <v>23</v>
      </c>
      <c r="S98" s="4" t="s">
        <v>21</v>
      </c>
    </row>
    <row r="99" spans="1:19" ht="22.5" customHeight="1" x14ac:dyDescent="0.25">
      <c r="A99" s="3">
        <v>46072.525976643519</v>
      </c>
      <c r="B99" s="4" t="s">
        <v>56</v>
      </c>
      <c r="C99" s="10">
        <f t="shared" si="18"/>
        <v>3</v>
      </c>
      <c r="D99" s="4" t="s">
        <v>14</v>
      </c>
      <c r="E99" s="10">
        <f t="shared" si="19"/>
        <v>1</v>
      </c>
      <c r="F99" s="4" t="s">
        <v>15</v>
      </c>
      <c r="G99" s="4" t="s">
        <v>48</v>
      </c>
      <c r="H99" s="12">
        <f t="shared" si="20"/>
        <v>3</v>
      </c>
      <c r="I99" s="4" t="s">
        <v>40</v>
      </c>
      <c r="J99" s="8">
        <f t="shared" si="21"/>
        <v>3</v>
      </c>
      <c r="K99" s="4" t="s">
        <v>18</v>
      </c>
      <c r="L99" s="4" t="s">
        <v>44</v>
      </c>
      <c r="M99" s="4" t="s">
        <v>28</v>
      </c>
      <c r="N99" s="4" t="s">
        <v>22</v>
      </c>
      <c r="O99" s="10">
        <f t="shared" si="22"/>
        <v>2</v>
      </c>
      <c r="P99" s="4" t="s">
        <v>22</v>
      </c>
      <c r="Q99" s="10">
        <f t="shared" si="23"/>
        <v>0</v>
      </c>
      <c r="R99" s="4" t="s">
        <v>29</v>
      </c>
      <c r="S99" s="4" t="s">
        <v>22</v>
      </c>
    </row>
    <row r="100" spans="1:19" ht="22.5" customHeight="1" x14ac:dyDescent="0.25">
      <c r="A100" s="3">
        <v>46072.526237939819</v>
      </c>
      <c r="B100" s="4" t="s">
        <v>13</v>
      </c>
      <c r="C100" s="10">
        <f t="shared" si="18"/>
        <v>2</v>
      </c>
      <c r="D100" s="4" t="s">
        <v>14</v>
      </c>
      <c r="E100" s="10">
        <f t="shared" si="19"/>
        <v>1</v>
      </c>
      <c r="F100" s="4" t="s">
        <v>57</v>
      </c>
      <c r="G100" s="5" t="s">
        <v>31</v>
      </c>
      <c r="H100" s="13">
        <f t="shared" si="20"/>
        <v>2</v>
      </c>
      <c r="I100" s="4" t="s">
        <v>17</v>
      </c>
      <c r="J100" s="8">
        <f t="shared" si="21"/>
        <v>1</v>
      </c>
      <c r="K100" s="4" t="s">
        <v>49</v>
      </c>
      <c r="L100" s="4" t="s">
        <v>46</v>
      </c>
      <c r="M100" s="4" t="s">
        <v>28</v>
      </c>
      <c r="N100" s="4" t="s">
        <v>21</v>
      </c>
      <c r="O100" s="10">
        <f t="shared" si="22"/>
        <v>1</v>
      </c>
      <c r="P100" s="4" t="s">
        <v>34</v>
      </c>
      <c r="Q100" s="10">
        <f t="shared" si="23"/>
        <v>1</v>
      </c>
      <c r="R100" s="4" t="s">
        <v>47</v>
      </c>
      <c r="S100" s="4" t="s">
        <v>22</v>
      </c>
    </row>
    <row r="101" spans="1:19" ht="22.5" customHeight="1" x14ac:dyDescent="0.25">
      <c r="A101" s="3">
        <v>46072.526243865737</v>
      </c>
      <c r="B101" s="4" t="s">
        <v>13</v>
      </c>
      <c r="C101" s="10">
        <f t="shared" si="18"/>
        <v>2</v>
      </c>
      <c r="D101" s="4" t="s">
        <v>14</v>
      </c>
      <c r="E101" s="10">
        <f t="shared" si="19"/>
        <v>1</v>
      </c>
      <c r="F101" s="4" t="s">
        <v>57</v>
      </c>
      <c r="G101" s="4" t="s">
        <v>16</v>
      </c>
      <c r="H101" s="12">
        <f t="shared" si="20"/>
        <v>1</v>
      </c>
      <c r="I101" s="4" t="s">
        <v>25</v>
      </c>
      <c r="J101" s="8">
        <f t="shared" si="21"/>
        <v>2</v>
      </c>
      <c r="K101" s="4" t="s">
        <v>26</v>
      </c>
      <c r="L101" s="4" t="s">
        <v>44</v>
      </c>
      <c r="M101" s="4" t="s">
        <v>28</v>
      </c>
      <c r="N101" s="4" t="s">
        <v>22</v>
      </c>
      <c r="O101" s="10">
        <f t="shared" si="22"/>
        <v>2</v>
      </c>
      <c r="P101" s="4" t="s">
        <v>34</v>
      </c>
      <c r="Q101" s="10">
        <f t="shared" si="23"/>
        <v>1</v>
      </c>
      <c r="R101" s="4" t="s">
        <v>23</v>
      </c>
      <c r="S101" s="4" t="s">
        <v>21</v>
      </c>
    </row>
    <row r="102" spans="1:19" ht="22.5" customHeight="1" x14ac:dyDescent="0.25">
      <c r="A102" s="3">
        <v>46072.529533506946</v>
      </c>
      <c r="B102" s="4" t="s">
        <v>13</v>
      </c>
      <c r="C102" s="10">
        <f t="shared" si="18"/>
        <v>2</v>
      </c>
      <c r="D102" s="4" t="s">
        <v>42</v>
      </c>
      <c r="E102" s="10">
        <f t="shared" si="19"/>
        <v>2</v>
      </c>
      <c r="F102" s="4" t="s">
        <v>51</v>
      </c>
      <c r="G102" s="5" t="s">
        <v>31</v>
      </c>
      <c r="H102" s="13">
        <f t="shared" si="20"/>
        <v>2</v>
      </c>
      <c r="I102" s="4" t="s">
        <v>17</v>
      </c>
      <c r="J102" s="8">
        <f t="shared" si="21"/>
        <v>1</v>
      </c>
      <c r="K102" s="4" t="s">
        <v>43</v>
      </c>
      <c r="L102" s="4" t="s">
        <v>39</v>
      </c>
      <c r="M102" s="4" t="s">
        <v>28</v>
      </c>
      <c r="N102" s="4" t="s">
        <v>22</v>
      </c>
      <c r="O102" s="10">
        <f t="shared" si="22"/>
        <v>2</v>
      </c>
      <c r="P102" s="4" t="s">
        <v>22</v>
      </c>
      <c r="Q102" s="10">
        <f t="shared" si="23"/>
        <v>0</v>
      </c>
      <c r="R102" s="4" t="s">
        <v>29</v>
      </c>
      <c r="S102" s="4" t="s">
        <v>21</v>
      </c>
    </row>
    <row r="103" spans="1:19" ht="22.5" customHeight="1" x14ac:dyDescent="0.25">
      <c r="A103" s="3">
        <v>46072.52954127315</v>
      </c>
      <c r="B103" s="4" t="s">
        <v>13</v>
      </c>
      <c r="C103" s="10">
        <f t="shared" si="18"/>
        <v>2</v>
      </c>
      <c r="D103" s="4" t="s">
        <v>14</v>
      </c>
      <c r="E103" s="10">
        <f t="shared" si="19"/>
        <v>1</v>
      </c>
      <c r="F103" s="4" t="s">
        <v>15</v>
      </c>
      <c r="G103" s="4" t="s">
        <v>48</v>
      </c>
      <c r="H103" s="12">
        <f t="shared" si="20"/>
        <v>3</v>
      </c>
      <c r="I103" s="4" t="s">
        <v>17</v>
      </c>
      <c r="J103" s="8">
        <f t="shared" si="21"/>
        <v>1</v>
      </c>
      <c r="K103" s="4" t="s">
        <v>43</v>
      </c>
      <c r="L103" s="4" t="s">
        <v>27</v>
      </c>
      <c r="M103" s="4" t="s">
        <v>28</v>
      </c>
      <c r="N103" s="4" t="s">
        <v>21</v>
      </c>
      <c r="O103" s="10">
        <f t="shared" si="22"/>
        <v>1</v>
      </c>
      <c r="P103" s="4" t="s">
        <v>34</v>
      </c>
      <c r="Q103" s="10">
        <f t="shared" si="23"/>
        <v>1</v>
      </c>
      <c r="R103" s="4" t="s">
        <v>29</v>
      </c>
      <c r="S103" s="4" t="s">
        <v>21</v>
      </c>
    </row>
    <row r="104" spans="1:19" ht="22.5" customHeight="1" x14ac:dyDescent="0.25">
      <c r="A104" s="3">
        <v>46072.529541932869</v>
      </c>
      <c r="B104" s="4" t="s">
        <v>13</v>
      </c>
      <c r="C104" s="10">
        <f t="shared" si="18"/>
        <v>2</v>
      </c>
      <c r="D104" s="4" t="s">
        <v>14</v>
      </c>
      <c r="E104" s="10">
        <f t="shared" si="19"/>
        <v>1</v>
      </c>
      <c r="F104" s="4" t="s">
        <v>15</v>
      </c>
      <c r="G104" s="5" t="s">
        <v>31</v>
      </c>
      <c r="H104" s="13">
        <f t="shared" si="20"/>
        <v>2</v>
      </c>
      <c r="I104" s="4" t="s">
        <v>25</v>
      </c>
      <c r="J104" s="8">
        <f t="shared" si="21"/>
        <v>2</v>
      </c>
      <c r="K104" s="4" t="s">
        <v>55</v>
      </c>
      <c r="L104" s="4" t="s">
        <v>50</v>
      </c>
      <c r="M104" s="4" t="s">
        <v>28</v>
      </c>
      <c r="N104" s="4" t="s">
        <v>21</v>
      </c>
      <c r="O104" s="10">
        <f t="shared" si="22"/>
        <v>1</v>
      </c>
      <c r="P104" s="4" t="s">
        <v>21</v>
      </c>
      <c r="Q104" s="10">
        <f t="shared" si="23"/>
        <v>2</v>
      </c>
      <c r="R104" s="4" t="s">
        <v>23</v>
      </c>
      <c r="S104" s="4" t="s">
        <v>22</v>
      </c>
    </row>
    <row r="105" spans="1:19" ht="22.5" customHeight="1" x14ac:dyDescent="0.25">
      <c r="A105" s="3">
        <v>46072.529542268516</v>
      </c>
      <c r="B105" s="4" t="s">
        <v>13</v>
      </c>
      <c r="C105" s="10">
        <f t="shared" si="18"/>
        <v>2</v>
      </c>
      <c r="D105" s="4" t="s">
        <v>42</v>
      </c>
      <c r="E105" s="10">
        <f t="shared" si="19"/>
        <v>2</v>
      </c>
      <c r="F105" s="4" t="s">
        <v>52</v>
      </c>
      <c r="G105" s="5" t="s">
        <v>31</v>
      </c>
      <c r="H105" s="13">
        <f t="shared" si="20"/>
        <v>2</v>
      </c>
      <c r="I105" s="4" t="s">
        <v>36</v>
      </c>
      <c r="J105" s="8">
        <f t="shared" si="21"/>
        <v>4</v>
      </c>
      <c r="K105" s="4" t="s">
        <v>32</v>
      </c>
      <c r="L105" s="4" t="s">
        <v>39</v>
      </c>
      <c r="M105" s="4" t="s">
        <v>28</v>
      </c>
      <c r="N105" s="4" t="s">
        <v>22</v>
      </c>
      <c r="O105" s="10">
        <f t="shared" si="22"/>
        <v>2</v>
      </c>
      <c r="P105" s="4" t="s">
        <v>21</v>
      </c>
      <c r="Q105" s="10">
        <f t="shared" si="23"/>
        <v>2</v>
      </c>
      <c r="R105" s="4" t="s">
        <v>29</v>
      </c>
      <c r="S105" s="4" t="s">
        <v>22</v>
      </c>
    </row>
    <row r="106" spans="1:19" ht="22.5" customHeight="1" x14ac:dyDescent="0.25">
      <c r="A106" s="3">
        <v>46072.529542627315</v>
      </c>
      <c r="B106" s="4" t="s">
        <v>13</v>
      </c>
      <c r="C106" s="10">
        <f t="shared" si="18"/>
        <v>2</v>
      </c>
      <c r="D106" s="4" t="s">
        <v>42</v>
      </c>
      <c r="E106" s="10">
        <f t="shared" si="19"/>
        <v>2</v>
      </c>
      <c r="F106" s="4" t="s">
        <v>24</v>
      </c>
      <c r="G106" s="5" t="s">
        <v>31</v>
      </c>
      <c r="H106" s="13">
        <f t="shared" si="20"/>
        <v>2</v>
      </c>
      <c r="I106" s="4" t="s">
        <v>25</v>
      </c>
      <c r="J106" s="8">
        <f t="shared" si="21"/>
        <v>2</v>
      </c>
      <c r="K106" s="4" t="s">
        <v>26</v>
      </c>
      <c r="L106" s="4" t="s">
        <v>62</v>
      </c>
      <c r="M106" s="4" t="s">
        <v>28</v>
      </c>
      <c r="N106" s="4" t="s">
        <v>22</v>
      </c>
      <c r="O106" s="10">
        <f t="shared" si="22"/>
        <v>2</v>
      </c>
      <c r="P106" s="4" t="s">
        <v>22</v>
      </c>
      <c r="Q106" s="10">
        <f t="shared" si="23"/>
        <v>0</v>
      </c>
      <c r="R106" s="4" t="s">
        <v>23</v>
      </c>
      <c r="S106" s="4" t="s">
        <v>21</v>
      </c>
    </row>
    <row r="107" spans="1:19" ht="22.5" customHeight="1" x14ac:dyDescent="0.25">
      <c r="A107" s="3">
        <v>46072.529542511576</v>
      </c>
      <c r="B107" s="4" t="s">
        <v>13</v>
      </c>
      <c r="C107" s="10">
        <f t="shared" si="18"/>
        <v>2</v>
      </c>
      <c r="D107" s="4" t="s">
        <v>14</v>
      </c>
      <c r="E107" s="10">
        <f t="shared" si="19"/>
        <v>1</v>
      </c>
      <c r="F107" s="4" t="s">
        <v>57</v>
      </c>
      <c r="G107" s="4" t="s">
        <v>16</v>
      </c>
      <c r="H107" s="12">
        <f t="shared" si="20"/>
        <v>1</v>
      </c>
      <c r="I107" s="4" t="s">
        <v>25</v>
      </c>
      <c r="J107" s="8">
        <f t="shared" si="21"/>
        <v>2</v>
      </c>
      <c r="K107" s="4" t="s">
        <v>18</v>
      </c>
      <c r="L107" s="4" t="s">
        <v>54</v>
      </c>
      <c r="M107" s="4" t="s">
        <v>60</v>
      </c>
      <c r="N107" s="4" t="s">
        <v>22</v>
      </c>
      <c r="O107" s="10">
        <f t="shared" si="22"/>
        <v>2</v>
      </c>
      <c r="P107" s="4" t="s">
        <v>34</v>
      </c>
      <c r="Q107" s="10">
        <f t="shared" si="23"/>
        <v>1</v>
      </c>
      <c r="R107" s="4" t="s">
        <v>29</v>
      </c>
      <c r="S107" s="4" t="s">
        <v>21</v>
      </c>
    </row>
    <row r="108" spans="1:19" ht="22.5" customHeight="1" x14ac:dyDescent="0.25">
      <c r="A108" s="3">
        <v>46072.5295425</v>
      </c>
      <c r="B108" s="4" t="s">
        <v>13</v>
      </c>
      <c r="C108" s="10">
        <f t="shared" si="18"/>
        <v>2</v>
      </c>
      <c r="D108" s="4" t="s">
        <v>14</v>
      </c>
      <c r="E108" s="10">
        <f t="shared" si="19"/>
        <v>1</v>
      </c>
      <c r="F108" s="4" t="s">
        <v>24</v>
      </c>
      <c r="G108" s="5" t="s">
        <v>31</v>
      </c>
      <c r="H108" s="13">
        <f t="shared" si="20"/>
        <v>2</v>
      </c>
      <c r="I108" s="4" t="s">
        <v>25</v>
      </c>
      <c r="J108" s="8">
        <f t="shared" si="21"/>
        <v>2</v>
      </c>
      <c r="K108" s="4" t="s">
        <v>37</v>
      </c>
      <c r="L108" s="4" t="s">
        <v>38</v>
      </c>
      <c r="M108" s="4" t="s">
        <v>28</v>
      </c>
      <c r="N108" s="4" t="s">
        <v>22</v>
      </c>
      <c r="O108" s="10">
        <f t="shared" si="22"/>
        <v>2</v>
      </c>
      <c r="P108" s="4" t="s">
        <v>21</v>
      </c>
      <c r="Q108" s="10">
        <f t="shared" si="23"/>
        <v>2</v>
      </c>
      <c r="R108" s="4" t="s">
        <v>29</v>
      </c>
      <c r="S108" s="4" t="s">
        <v>22</v>
      </c>
    </row>
    <row r="109" spans="1:19" ht="22.5" customHeight="1" x14ac:dyDescent="0.25">
      <c r="A109" s="3">
        <v>46072.529542511576</v>
      </c>
      <c r="B109" s="4" t="s">
        <v>13</v>
      </c>
      <c r="C109" s="10">
        <f t="shared" si="18"/>
        <v>2</v>
      </c>
      <c r="D109" s="4" t="s">
        <v>42</v>
      </c>
      <c r="E109" s="10">
        <f t="shared" si="19"/>
        <v>2</v>
      </c>
      <c r="F109" s="4" t="s">
        <v>24</v>
      </c>
      <c r="G109" s="4" t="s">
        <v>16</v>
      </c>
      <c r="H109" s="12">
        <f t="shared" si="20"/>
        <v>1</v>
      </c>
      <c r="I109" s="4" t="s">
        <v>40</v>
      </c>
      <c r="J109" s="8">
        <f t="shared" si="21"/>
        <v>3</v>
      </c>
      <c r="K109" s="4" t="s">
        <v>43</v>
      </c>
      <c r="L109" s="4" t="s">
        <v>53</v>
      </c>
      <c r="M109" s="4" t="s">
        <v>28</v>
      </c>
      <c r="N109" s="4" t="s">
        <v>22</v>
      </c>
      <c r="O109" s="10">
        <f t="shared" si="22"/>
        <v>2</v>
      </c>
      <c r="P109" s="4" t="s">
        <v>21</v>
      </c>
      <c r="Q109" s="10">
        <f t="shared" si="23"/>
        <v>2</v>
      </c>
      <c r="R109" s="4" t="s">
        <v>29</v>
      </c>
      <c r="S109" s="4" t="s">
        <v>22</v>
      </c>
    </row>
    <row r="110" spans="1:19" ht="22.5" customHeight="1" x14ac:dyDescent="0.25">
      <c r="A110" s="3">
        <v>46072.52954275463</v>
      </c>
      <c r="B110" s="4" t="s">
        <v>56</v>
      </c>
      <c r="C110" s="10">
        <f t="shared" si="18"/>
        <v>3</v>
      </c>
      <c r="D110" s="4" t="s">
        <v>42</v>
      </c>
      <c r="E110" s="10">
        <f t="shared" si="19"/>
        <v>2</v>
      </c>
      <c r="F110" s="4" t="s">
        <v>57</v>
      </c>
      <c r="G110" s="5" t="s">
        <v>31</v>
      </c>
      <c r="H110" s="13">
        <f t="shared" si="20"/>
        <v>2</v>
      </c>
      <c r="I110" s="4" t="s">
        <v>25</v>
      </c>
      <c r="J110" s="8">
        <f t="shared" si="21"/>
        <v>2</v>
      </c>
      <c r="K110" s="4" t="s">
        <v>32</v>
      </c>
      <c r="L110" s="4" t="s">
        <v>27</v>
      </c>
      <c r="M110" s="4" t="s">
        <v>28</v>
      </c>
      <c r="N110" s="4" t="s">
        <v>22</v>
      </c>
      <c r="O110" s="10">
        <f t="shared" si="22"/>
        <v>2</v>
      </c>
      <c r="P110" s="4" t="s">
        <v>34</v>
      </c>
      <c r="Q110" s="10">
        <f t="shared" si="23"/>
        <v>1</v>
      </c>
      <c r="R110" s="4" t="s">
        <v>23</v>
      </c>
      <c r="S110" s="4" t="s">
        <v>21</v>
      </c>
    </row>
    <row r="111" spans="1:19" ht="22.5" customHeight="1" x14ac:dyDescent="0.25">
      <c r="A111" s="3">
        <v>46072.529542523145</v>
      </c>
      <c r="B111" s="4" t="s">
        <v>13</v>
      </c>
      <c r="C111" s="10">
        <f t="shared" si="18"/>
        <v>2</v>
      </c>
      <c r="D111" s="4" t="s">
        <v>42</v>
      </c>
      <c r="E111" s="10">
        <f t="shared" si="19"/>
        <v>2</v>
      </c>
      <c r="F111" s="4" t="s">
        <v>15</v>
      </c>
      <c r="G111" s="5" t="s">
        <v>31</v>
      </c>
      <c r="H111" s="13">
        <f t="shared" si="20"/>
        <v>2</v>
      </c>
      <c r="I111" s="4" t="s">
        <v>25</v>
      </c>
      <c r="J111" s="8">
        <f t="shared" si="21"/>
        <v>2</v>
      </c>
      <c r="K111" s="4" t="s">
        <v>55</v>
      </c>
      <c r="L111" s="4" t="s">
        <v>27</v>
      </c>
      <c r="M111" s="4" t="s">
        <v>28</v>
      </c>
      <c r="N111" s="4" t="s">
        <v>21</v>
      </c>
      <c r="O111" s="10">
        <f t="shared" si="22"/>
        <v>1</v>
      </c>
      <c r="P111" s="4" t="s">
        <v>21</v>
      </c>
      <c r="Q111" s="10">
        <f t="shared" si="23"/>
        <v>2</v>
      </c>
      <c r="R111" s="4" t="s">
        <v>23</v>
      </c>
      <c r="S111" s="4" t="s">
        <v>22</v>
      </c>
    </row>
    <row r="112" spans="1:19" ht="22.5" customHeight="1" x14ac:dyDescent="0.25">
      <c r="A112" s="3">
        <v>46072.529542673612</v>
      </c>
      <c r="B112" s="4" t="s">
        <v>13</v>
      </c>
      <c r="C112" s="10">
        <f t="shared" si="18"/>
        <v>2</v>
      </c>
      <c r="D112" s="4" t="s">
        <v>42</v>
      </c>
      <c r="E112" s="10">
        <f t="shared" si="19"/>
        <v>2</v>
      </c>
      <c r="F112" s="4" t="s">
        <v>51</v>
      </c>
      <c r="G112" s="4" t="s">
        <v>16</v>
      </c>
      <c r="H112" s="12">
        <f t="shared" si="20"/>
        <v>1</v>
      </c>
      <c r="I112" s="4" t="s">
        <v>25</v>
      </c>
      <c r="J112" s="8">
        <f t="shared" si="21"/>
        <v>2</v>
      </c>
      <c r="K112" s="4" t="s">
        <v>55</v>
      </c>
      <c r="L112" s="4" t="s">
        <v>19</v>
      </c>
      <c r="M112" s="4" t="s">
        <v>28</v>
      </c>
      <c r="N112" s="4" t="s">
        <v>22</v>
      </c>
      <c r="O112" s="10">
        <f t="shared" si="22"/>
        <v>2</v>
      </c>
      <c r="P112" s="4" t="s">
        <v>22</v>
      </c>
      <c r="Q112" s="10">
        <f t="shared" si="23"/>
        <v>0</v>
      </c>
      <c r="R112" s="4" t="s">
        <v>29</v>
      </c>
      <c r="S112" s="4" t="s">
        <v>21</v>
      </c>
    </row>
    <row r="113" spans="1:19" ht="22.5" customHeight="1" x14ac:dyDescent="0.25">
      <c r="A113" s="3">
        <v>46072.52954275463</v>
      </c>
      <c r="B113" s="4" t="s">
        <v>13</v>
      </c>
      <c r="C113" s="10">
        <f t="shared" si="18"/>
        <v>2</v>
      </c>
      <c r="D113" s="4" t="s">
        <v>14</v>
      </c>
      <c r="E113" s="10">
        <f t="shared" si="19"/>
        <v>1</v>
      </c>
      <c r="F113" s="4" t="s">
        <v>15</v>
      </c>
      <c r="G113" s="5" t="s">
        <v>31</v>
      </c>
      <c r="H113" s="13">
        <f t="shared" si="20"/>
        <v>2</v>
      </c>
      <c r="I113" s="4" t="s">
        <v>40</v>
      </c>
      <c r="J113" s="8">
        <f t="shared" si="21"/>
        <v>3</v>
      </c>
      <c r="K113" s="4" t="s">
        <v>18</v>
      </c>
      <c r="L113" s="4" t="s">
        <v>61</v>
      </c>
      <c r="M113" s="4" t="s">
        <v>28</v>
      </c>
      <c r="N113" s="4" t="s">
        <v>22</v>
      </c>
      <c r="O113" s="10">
        <f t="shared" si="22"/>
        <v>2</v>
      </c>
      <c r="P113" s="4" t="s">
        <v>21</v>
      </c>
      <c r="Q113" s="10">
        <f t="shared" si="23"/>
        <v>2</v>
      </c>
      <c r="R113" s="4" t="s">
        <v>29</v>
      </c>
      <c r="S113" s="4" t="s">
        <v>22</v>
      </c>
    </row>
    <row r="114" spans="1:19" ht="22.5" customHeight="1" x14ac:dyDescent="0.25">
      <c r="A114" s="3">
        <v>46072.529542766206</v>
      </c>
      <c r="B114" s="4" t="s">
        <v>13</v>
      </c>
      <c r="C114" s="10">
        <f t="shared" si="18"/>
        <v>2</v>
      </c>
      <c r="D114" s="4" t="s">
        <v>42</v>
      </c>
      <c r="E114" s="10">
        <f t="shared" si="19"/>
        <v>2</v>
      </c>
      <c r="F114" s="4" t="s">
        <v>52</v>
      </c>
      <c r="G114" s="4" t="s">
        <v>16</v>
      </c>
      <c r="H114" s="12">
        <f t="shared" si="20"/>
        <v>1</v>
      </c>
      <c r="I114" s="4" t="s">
        <v>25</v>
      </c>
      <c r="J114" s="8">
        <f t="shared" si="21"/>
        <v>2</v>
      </c>
      <c r="K114" s="4" t="s">
        <v>49</v>
      </c>
      <c r="L114" s="4" t="s">
        <v>19</v>
      </c>
      <c r="M114" s="4" t="s">
        <v>28</v>
      </c>
      <c r="N114" s="4" t="s">
        <v>22</v>
      </c>
      <c r="O114" s="10">
        <f t="shared" si="22"/>
        <v>2</v>
      </c>
      <c r="P114" s="4" t="s">
        <v>22</v>
      </c>
      <c r="Q114" s="10">
        <f t="shared" si="23"/>
        <v>0</v>
      </c>
      <c r="R114" s="4" t="s">
        <v>29</v>
      </c>
      <c r="S114" s="4" t="s">
        <v>21</v>
      </c>
    </row>
    <row r="115" spans="1:19" ht="22.5" customHeight="1" x14ac:dyDescent="0.25">
      <c r="A115" s="3">
        <v>46072.529552928245</v>
      </c>
      <c r="B115" s="4" t="s">
        <v>13</v>
      </c>
      <c r="C115" s="10">
        <f t="shared" si="18"/>
        <v>2</v>
      </c>
      <c r="D115" s="4" t="s">
        <v>14</v>
      </c>
      <c r="E115" s="10">
        <f t="shared" si="19"/>
        <v>1</v>
      </c>
      <c r="F115" s="4" t="s">
        <v>57</v>
      </c>
      <c r="G115" s="4" t="s">
        <v>16</v>
      </c>
      <c r="H115" s="12">
        <f t="shared" si="20"/>
        <v>1</v>
      </c>
      <c r="I115" s="4" t="s">
        <v>40</v>
      </c>
      <c r="J115" s="8">
        <f t="shared" si="21"/>
        <v>3</v>
      </c>
      <c r="K115" s="4" t="s">
        <v>37</v>
      </c>
      <c r="L115" s="4" t="s">
        <v>50</v>
      </c>
      <c r="M115" s="4" t="s">
        <v>28</v>
      </c>
      <c r="N115" s="4" t="s">
        <v>22</v>
      </c>
      <c r="O115" s="10">
        <f t="shared" si="22"/>
        <v>2</v>
      </c>
      <c r="P115" s="4" t="s">
        <v>21</v>
      </c>
      <c r="Q115" s="10">
        <f t="shared" si="23"/>
        <v>2</v>
      </c>
      <c r="R115" s="4" t="s">
        <v>29</v>
      </c>
      <c r="S115" s="4" t="s">
        <v>22</v>
      </c>
    </row>
    <row r="116" spans="1:19" ht="22.5" customHeight="1" x14ac:dyDescent="0.25">
      <c r="A116" s="3">
        <v>46072.529552939814</v>
      </c>
      <c r="B116" s="4" t="s">
        <v>13</v>
      </c>
      <c r="C116" s="10">
        <f t="shared" si="18"/>
        <v>2</v>
      </c>
      <c r="D116" s="4" t="s">
        <v>14</v>
      </c>
      <c r="E116" s="10">
        <f t="shared" si="19"/>
        <v>1</v>
      </c>
      <c r="F116" s="4" t="s">
        <v>24</v>
      </c>
      <c r="G116" s="4" t="s">
        <v>16</v>
      </c>
      <c r="H116" s="12">
        <f t="shared" si="20"/>
        <v>1</v>
      </c>
      <c r="I116" s="4" t="s">
        <v>25</v>
      </c>
      <c r="J116" s="8">
        <f t="shared" si="21"/>
        <v>2</v>
      </c>
      <c r="K116" s="4" t="s">
        <v>18</v>
      </c>
      <c r="L116" s="4" t="s">
        <v>41</v>
      </c>
      <c r="M116" s="4" t="s">
        <v>28</v>
      </c>
      <c r="N116" s="4" t="s">
        <v>22</v>
      </c>
      <c r="O116" s="10">
        <f t="shared" si="22"/>
        <v>2</v>
      </c>
      <c r="P116" s="4" t="s">
        <v>34</v>
      </c>
      <c r="Q116" s="10">
        <f t="shared" si="23"/>
        <v>1</v>
      </c>
      <c r="R116" s="4" t="s">
        <v>29</v>
      </c>
      <c r="S116" s="4" t="s">
        <v>22</v>
      </c>
    </row>
    <row r="117" spans="1:19" ht="22.5" customHeight="1" x14ac:dyDescent="0.25">
      <c r="A117" s="3">
        <v>46072.529552905093</v>
      </c>
      <c r="B117" s="4" t="s">
        <v>13</v>
      </c>
      <c r="C117" s="10">
        <f t="shared" si="18"/>
        <v>2</v>
      </c>
      <c r="D117" s="4" t="s">
        <v>42</v>
      </c>
      <c r="E117" s="10">
        <f t="shared" si="19"/>
        <v>2</v>
      </c>
      <c r="F117" s="4" t="s">
        <v>52</v>
      </c>
      <c r="G117" s="5" t="s">
        <v>31</v>
      </c>
      <c r="H117" s="13">
        <f t="shared" si="20"/>
        <v>2</v>
      </c>
      <c r="I117" s="4" t="s">
        <v>36</v>
      </c>
      <c r="J117" s="8">
        <f t="shared" si="21"/>
        <v>4</v>
      </c>
      <c r="K117" s="4" t="s">
        <v>18</v>
      </c>
      <c r="L117" s="4" t="s">
        <v>33</v>
      </c>
      <c r="M117" s="4" t="s">
        <v>28</v>
      </c>
      <c r="N117" s="4" t="s">
        <v>22</v>
      </c>
      <c r="O117" s="10">
        <f t="shared" si="22"/>
        <v>2</v>
      </c>
      <c r="P117" s="4" t="s">
        <v>22</v>
      </c>
      <c r="Q117" s="10">
        <f t="shared" si="23"/>
        <v>0</v>
      </c>
      <c r="R117" s="4" t="s">
        <v>47</v>
      </c>
      <c r="S117" s="4" t="s">
        <v>22</v>
      </c>
    </row>
    <row r="118" spans="1:19" ht="22.5" customHeight="1" x14ac:dyDescent="0.25">
      <c r="A118" s="3">
        <v>46072.529552928245</v>
      </c>
      <c r="B118" s="4" t="s">
        <v>13</v>
      </c>
      <c r="C118" s="10">
        <f t="shared" si="18"/>
        <v>2</v>
      </c>
      <c r="D118" s="4" t="s">
        <v>14</v>
      </c>
      <c r="E118" s="10">
        <f t="shared" si="19"/>
        <v>1</v>
      </c>
      <c r="F118" s="4" t="s">
        <v>30</v>
      </c>
      <c r="G118" s="5" t="s">
        <v>31</v>
      </c>
      <c r="H118" s="13">
        <f t="shared" si="20"/>
        <v>2</v>
      </c>
      <c r="I118" s="4" t="s">
        <v>25</v>
      </c>
      <c r="J118" s="8">
        <f t="shared" si="21"/>
        <v>2</v>
      </c>
      <c r="K118" s="4" t="s">
        <v>26</v>
      </c>
      <c r="L118" s="4" t="s">
        <v>61</v>
      </c>
      <c r="M118" s="4" t="s">
        <v>28</v>
      </c>
      <c r="N118" s="4" t="s">
        <v>22</v>
      </c>
      <c r="O118" s="10">
        <f t="shared" si="22"/>
        <v>2</v>
      </c>
      <c r="P118" s="4" t="s">
        <v>22</v>
      </c>
      <c r="Q118" s="10">
        <f t="shared" si="23"/>
        <v>0</v>
      </c>
      <c r="R118" s="4" t="s">
        <v>47</v>
      </c>
      <c r="S118" s="4" t="s">
        <v>22</v>
      </c>
    </row>
    <row r="119" spans="1:19" ht="22.5" customHeight="1" x14ac:dyDescent="0.25">
      <c r="A119" s="3">
        <v>46072.529553009255</v>
      </c>
      <c r="B119" s="4" t="s">
        <v>13</v>
      </c>
      <c r="C119" s="10">
        <f t="shared" si="18"/>
        <v>2</v>
      </c>
      <c r="D119" s="4" t="s">
        <v>42</v>
      </c>
      <c r="E119" s="10">
        <f t="shared" si="19"/>
        <v>2</v>
      </c>
      <c r="F119" s="4" t="s">
        <v>57</v>
      </c>
      <c r="G119" s="5" t="s">
        <v>31</v>
      </c>
      <c r="H119" s="13">
        <f t="shared" si="20"/>
        <v>2</v>
      </c>
      <c r="I119" s="4" t="s">
        <v>40</v>
      </c>
      <c r="J119" s="8">
        <f t="shared" si="21"/>
        <v>3</v>
      </c>
      <c r="K119" s="4" t="s">
        <v>37</v>
      </c>
      <c r="L119" s="4" t="s">
        <v>54</v>
      </c>
      <c r="M119" s="4" t="s">
        <v>28</v>
      </c>
      <c r="N119" s="4" t="s">
        <v>21</v>
      </c>
      <c r="O119" s="10">
        <f t="shared" si="22"/>
        <v>1</v>
      </c>
      <c r="P119" s="4" t="s">
        <v>22</v>
      </c>
      <c r="Q119" s="10">
        <f t="shared" si="23"/>
        <v>0</v>
      </c>
      <c r="R119" s="4" t="s">
        <v>47</v>
      </c>
      <c r="S119" s="4" t="s">
        <v>21</v>
      </c>
    </row>
    <row r="120" spans="1:19" ht="22.5" customHeight="1" x14ac:dyDescent="0.25">
      <c r="A120" s="3">
        <v>46072.52956880787</v>
      </c>
      <c r="B120" s="4" t="s">
        <v>13</v>
      </c>
      <c r="C120" s="10">
        <f t="shared" si="18"/>
        <v>2</v>
      </c>
      <c r="D120" s="4" t="s">
        <v>14</v>
      </c>
      <c r="E120" s="10">
        <f t="shared" si="19"/>
        <v>1</v>
      </c>
      <c r="F120" s="4" t="s">
        <v>51</v>
      </c>
      <c r="G120" s="4" t="s">
        <v>16</v>
      </c>
      <c r="H120" s="12">
        <f t="shared" si="20"/>
        <v>1</v>
      </c>
      <c r="I120" s="4" t="s">
        <v>40</v>
      </c>
      <c r="J120" s="8">
        <f t="shared" si="21"/>
        <v>3</v>
      </c>
      <c r="K120" s="4" t="s">
        <v>43</v>
      </c>
      <c r="L120" s="4" t="s">
        <v>27</v>
      </c>
      <c r="M120" s="4" t="s">
        <v>28</v>
      </c>
      <c r="N120" s="4" t="s">
        <v>21</v>
      </c>
      <c r="O120" s="10">
        <f t="shared" si="22"/>
        <v>1</v>
      </c>
      <c r="P120" s="4" t="s">
        <v>21</v>
      </c>
      <c r="Q120" s="10">
        <f t="shared" si="23"/>
        <v>2</v>
      </c>
      <c r="R120" s="4" t="s">
        <v>29</v>
      </c>
      <c r="S120" s="4" t="s">
        <v>21</v>
      </c>
    </row>
    <row r="121" spans="1:19" ht="22.5" customHeight="1" x14ac:dyDescent="0.25">
      <c r="A121" s="3">
        <v>46072.529574942135</v>
      </c>
      <c r="B121" s="4" t="s">
        <v>13</v>
      </c>
      <c r="C121" s="10">
        <f t="shared" si="18"/>
        <v>2</v>
      </c>
      <c r="D121" s="4" t="s">
        <v>14</v>
      </c>
      <c r="E121" s="10">
        <f t="shared" si="19"/>
        <v>1</v>
      </c>
      <c r="F121" s="4" t="s">
        <v>15</v>
      </c>
      <c r="G121" s="4" t="s">
        <v>48</v>
      </c>
      <c r="H121" s="12">
        <f t="shared" si="20"/>
        <v>3</v>
      </c>
      <c r="I121" s="4" t="s">
        <v>25</v>
      </c>
      <c r="J121" s="8">
        <f t="shared" si="21"/>
        <v>2</v>
      </c>
      <c r="K121" s="4" t="s">
        <v>55</v>
      </c>
      <c r="L121" s="4" t="s">
        <v>53</v>
      </c>
      <c r="M121" s="4" t="s">
        <v>28</v>
      </c>
      <c r="N121" s="4" t="s">
        <v>22</v>
      </c>
      <c r="O121" s="10">
        <f t="shared" si="22"/>
        <v>2</v>
      </c>
      <c r="P121" s="4" t="s">
        <v>22</v>
      </c>
      <c r="Q121" s="10">
        <f t="shared" si="23"/>
        <v>0</v>
      </c>
      <c r="R121" s="4" t="s">
        <v>29</v>
      </c>
      <c r="S121" s="4" t="s">
        <v>22</v>
      </c>
    </row>
    <row r="122" spans="1:19" ht="22.5" customHeight="1" x14ac:dyDescent="0.25">
      <c r="A122" s="3">
        <v>46073</v>
      </c>
      <c r="B122" s="4" t="s">
        <v>13</v>
      </c>
      <c r="C122" s="10">
        <f t="shared" si="18"/>
        <v>2</v>
      </c>
      <c r="D122" s="4" t="s">
        <v>14</v>
      </c>
      <c r="E122" s="10">
        <f t="shared" si="19"/>
        <v>1</v>
      </c>
      <c r="F122" s="4" t="s">
        <v>52</v>
      </c>
      <c r="G122" s="4" t="s">
        <v>16</v>
      </c>
      <c r="H122" s="12">
        <f t="shared" si="20"/>
        <v>1</v>
      </c>
      <c r="I122" s="4" t="s">
        <v>25</v>
      </c>
      <c r="J122" s="8">
        <f t="shared" si="21"/>
        <v>2</v>
      </c>
      <c r="K122" s="4" t="s">
        <v>43</v>
      </c>
      <c r="L122" s="4" t="s">
        <v>39</v>
      </c>
      <c r="M122" s="4" t="s">
        <v>60</v>
      </c>
      <c r="N122" s="4" t="s">
        <v>21</v>
      </c>
      <c r="O122" s="10">
        <f t="shared" si="22"/>
        <v>1</v>
      </c>
      <c r="P122" s="4" t="s">
        <v>34</v>
      </c>
      <c r="Q122" s="10">
        <f t="shared" si="23"/>
        <v>1</v>
      </c>
      <c r="R122" s="4" t="s">
        <v>29</v>
      </c>
      <c r="S122" s="4" t="s">
        <v>21</v>
      </c>
    </row>
    <row r="123" spans="1:19" ht="22.5" customHeight="1" x14ac:dyDescent="0.25">
      <c r="A123" s="3">
        <v>46073</v>
      </c>
      <c r="B123" s="4" t="s">
        <v>13</v>
      </c>
      <c r="C123" s="10">
        <f t="shared" si="18"/>
        <v>2</v>
      </c>
      <c r="D123" s="4" t="s">
        <v>42</v>
      </c>
      <c r="E123" s="10">
        <f t="shared" si="19"/>
        <v>2</v>
      </c>
      <c r="F123" s="4" t="s">
        <v>51</v>
      </c>
      <c r="G123" s="5" t="s">
        <v>31</v>
      </c>
      <c r="H123" s="13">
        <f t="shared" si="20"/>
        <v>2</v>
      </c>
      <c r="I123" s="4" t="s">
        <v>17</v>
      </c>
      <c r="J123" s="8">
        <f t="shared" si="21"/>
        <v>1</v>
      </c>
      <c r="K123" s="4" t="s">
        <v>37</v>
      </c>
      <c r="L123" s="4" t="s">
        <v>19</v>
      </c>
      <c r="M123" s="4" t="s">
        <v>28</v>
      </c>
      <c r="N123" s="4" t="s">
        <v>22</v>
      </c>
      <c r="O123" s="10">
        <f t="shared" si="22"/>
        <v>2</v>
      </c>
      <c r="P123" s="4" t="s">
        <v>34</v>
      </c>
      <c r="Q123" s="10">
        <f t="shared" si="23"/>
        <v>1</v>
      </c>
      <c r="R123" s="4" t="s">
        <v>29</v>
      </c>
      <c r="S123" s="4" t="s">
        <v>22</v>
      </c>
    </row>
    <row r="124" spans="1:19" ht="22.5" customHeight="1" x14ac:dyDescent="0.25">
      <c r="A124" s="3">
        <v>46073</v>
      </c>
      <c r="B124" s="4" t="s">
        <v>13</v>
      </c>
      <c r="C124" s="10">
        <f t="shared" si="18"/>
        <v>2</v>
      </c>
      <c r="D124" s="4" t="s">
        <v>42</v>
      </c>
      <c r="E124" s="10">
        <f t="shared" si="19"/>
        <v>2</v>
      </c>
      <c r="F124" s="4" t="s">
        <v>15</v>
      </c>
      <c r="G124" s="5" t="s">
        <v>31</v>
      </c>
      <c r="H124" s="13">
        <f t="shared" si="20"/>
        <v>2</v>
      </c>
      <c r="I124" s="4" t="s">
        <v>40</v>
      </c>
      <c r="J124" s="8">
        <f t="shared" si="21"/>
        <v>3</v>
      </c>
      <c r="K124" s="4" t="s">
        <v>37</v>
      </c>
      <c r="L124" s="4" t="s">
        <v>54</v>
      </c>
      <c r="M124" s="4" t="s">
        <v>28</v>
      </c>
      <c r="N124" s="4" t="s">
        <v>21</v>
      </c>
      <c r="O124" s="10">
        <f t="shared" si="22"/>
        <v>1</v>
      </c>
      <c r="P124" s="4" t="s">
        <v>22</v>
      </c>
      <c r="Q124" s="10">
        <f t="shared" si="23"/>
        <v>0</v>
      </c>
      <c r="R124" s="4" t="s">
        <v>23</v>
      </c>
      <c r="S124" s="4" t="s">
        <v>22</v>
      </c>
    </row>
    <row r="125" spans="1:19" ht="22.5" customHeight="1" x14ac:dyDescent="0.25">
      <c r="A125" s="3">
        <v>46073</v>
      </c>
      <c r="B125" s="4" t="s">
        <v>13</v>
      </c>
      <c r="C125" s="10">
        <f t="shared" si="18"/>
        <v>2</v>
      </c>
      <c r="D125" s="4" t="s">
        <v>42</v>
      </c>
      <c r="E125" s="10">
        <f t="shared" si="19"/>
        <v>2</v>
      </c>
      <c r="F125" s="4" t="s">
        <v>24</v>
      </c>
      <c r="G125" s="5" t="s">
        <v>31</v>
      </c>
      <c r="H125" s="13">
        <f t="shared" si="20"/>
        <v>2</v>
      </c>
      <c r="I125" s="4" t="s">
        <v>25</v>
      </c>
      <c r="J125" s="8">
        <f t="shared" si="21"/>
        <v>2</v>
      </c>
      <c r="K125" s="4" t="s">
        <v>49</v>
      </c>
      <c r="L125" s="4" t="s">
        <v>38</v>
      </c>
      <c r="M125" s="4" t="s">
        <v>28</v>
      </c>
      <c r="N125" s="4" t="s">
        <v>22</v>
      </c>
      <c r="O125" s="10">
        <f t="shared" si="22"/>
        <v>2</v>
      </c>
      <c r="P125" s="4" t="s">
        <v>21</v>
      </c>
      <c r="Q125" s="10">
        <f t="shared" si="23"/>
        <v>2</v>
      </c>
      <c r="R125" s="4" t="s">
        <v>29</v>
      </c>
      <c r="S125" s="4" t="s">
        <v>21</v>
      </c>
    </row>
    <row r="126" spans="1:19" ht="22.5" customHeight="1" x14ac:dyDescent="0.25">
      <c r="A126" s="3">
        <v>46073</v>
      </c>
      <c r="B126" s="4" t="s">
        <v>13</v>
      </c>
      <c r="C126" s="10">
        <f t="shared" si="18"/>
        <v>2</v>
      </c>
      <c r="D126" s="4" t="s">
        <v>14</v>
      </c>
      <c r="E126" s="10">
        <f t="shared" si="19"/>
        <v>1</v>
      </c>
      <c r="F126" s="4" t="s">
        <v>15</v>
      </c>
      <c r="G126" s="4" t="s">
        <v>16</v>
      </c>
      <c r="H126" s="12">
        <f t="shared" si="20"/>
        <v>1</v>
      </c>
      <c r="I126" s="4" t="s">
        <v>25</v>
      </c>
      <c r="J126" s="8">
        <f t="shared" si="21"/>
        <v>2</v>
      </c>
      <c r="K126" s="4" t="s">
        <v>43</v>
      </c>
      <c r="L126" s="4" t="s">
        <v>19</v>
      </c>
      <c r="M126" s="4" t="s">
        <v>28</v>
      </c>
      <c r="N126" s="4" t="s">
        <v>21</v>
      </c>
      <c r="O126" s="10">
        <f t="shared" si="22"/>
        <v>1</v>
      </c>
      <c r="P126" s="4" t="s">
        <v>22</v>
      </c>
      <c r="Q126" s="10">
        <f t="shared" si="23"/>
        <v>0</v>
      </c>
      <c r="R126" s="4" t="s">
        <v>47</v>
      </c>
      <c r="S126" s="4" t="s">
        <v>21</v>
      </c>
    </row>
    <row r="127" spans="1:19" ht="22.5" customHeight="1" x14ac:dyDescent="0.25">
      <c r="A127" s="3">
        <v>46073</v>
      </c>
      <c r="B127" s="4" t="s">
        <v>13</v>
      </c>
      <c r="C127" s="10">
        <f t="shared" si="18"/>
        <v>2</v>
      </c>
      <c r="D127" s="4" t="s">
        <v>14</v>
      </c>
      <c r="E127" s="10">
        <f t="shared" si="19"/>
        <v>1</v>
      </c>
      <c r="F127" s="4" t="s">
        <v>24</v>
      </c>
      <c r="G127" s="4" t="s">
        <v>48</v>
      </c>
      <c r="H127" s="12">
        <f t="shared" si="20"/>
        <v>3</v>
      </c>
      <c r="I127" s="4" t="s">
        <v>17</v>
      </c>
      <c r="J127" s="8">
        <f t="shared" si="21"/>
        <v>1</v>
      </c>
      <c r="K127" s="4" t="s">
        <v>49</v>
      </c>
      <c r="L127" s="4" t="s">
        <v>44</v>
      </c>
      <c r="M127" s="4" t="s">
        <v>28</v>
      </c>
      <c r="N127" s="4" t="s">
        <v>21</v>
      </c>
      <c r="O127" s="10">
        <f t="shared" si="22"/>
        <v>1</v>
      </c>
      <c r="P127" s="4" t="s">
        <v>21</v>
      </c>
      <c r="Q127" s="10">
        <f t="shared" si="23"/>
        <v>2</v>
      </c>
      <c r="R127" s="4" t="s">
        <v>29</v>
      </c>
      <c r="S127" s="4" t="s">
        <v>22</v>
      </c>
    </row>
    <row r="128" spans="1:19" ht="22.5" customHeight="1" x14ac:dyDescent="0.25">
      <c r="A128" s="3">
        <v>46073</v>
      </c>
      <c r="B128" s="4" t="s">
        <v>13</v>
      </c>
      <c r="C128" s="10">
        <f t="shared" si="18"/>
        <v>2</v>
      </c>
      <c r="D128" s="4" t="s">
        <v>14</v>
      </c>
      <c r="E128" s="10">
        <f t="shared" si="19"/>
        <v>1</v>
      </c>
      <c r="F128" s="4" t="s">
        <v>15</v>
      </c>
      <c r="G128" s="4" t="s">
        <v>16</v>
      </c>
      <c r="H128" s="12">
        <f t="shared" si="20"/>
        <v>1</v>
      </c>
      <c r="I128" s="4" t="s">
        <v>25</v>
      </c>
      <c r="J128" s="8">
        <f t="shared" si="21"/>
        <v>2</v>
      </c>
      <c r="K128" s="4" t="s">
        <v>37</v>
      </c>
      <c r="L128" s="4" t="s">
        <v>58</v>
      </c>
      <c r="M128" s="4" t="s">
        <v>28</v>
      </c>
      <c r="N128" s="4" t="s">
        <v>21</v>
      </c>
      <c r="O128" s="10">
        <f t="shared" si="22"/>
        <v>1</v>
      </c>
      <c r="P128" s="4" t="s">
        <v>22</v>
      </c>
      <c r="Q128" s="10">
        <f t="shared" si="23"/>
        <v>0</v>
      </c>
      <c r="R128" s="4" t="s">
        <v>29</v>
      </c>
      <c r="S128" s="4" t="s">
        <v>21</v>
      </c>
    </row>
    <row r="129" spans="1:19" ht="22.5" customHeight="1" x14ac:dyDescent="0.25">
      <c r="A129" s="3">
        <v>46073</v>
      </c>
      <c r="B129" s="4" t="s">
        <v>13</v>
      </c>
      <c r="C129" s="10">
        <f t="shared" si="18"/>
        <v>2</v>
      </c>
      <c r="D129" s="4" t="s">
        <v>14</v>
      </c>
      <c r="E129" s="10">
        <f t="shared" si="19"/>
        <v>1</v>
      </c>
      <c r="F129" s="4" t="s">
        <v>57</v>
      </c>
      <c r="G129" s="4" t="s">
        <v>16</v>
      </c>
      <c r="H129" s="12">
        <f t="shared" si="20"/>
        <v>1</v>
      </c>
      <c r="I129" s="4" t="s">
        <v>25</v>
      </c>
      <c r="J129" s="8">
        <f t="shared" si="21"/>
        <v>2</v>
      </c>
      <c r="K129" s="4" t="s">
        <v>43</v>
      </c>
      <c r="L129" s="4" t="s">
        <v>19</v>
      </c>
      <c r="M129" s="4" t="s">
        <v>28</v>
      </c>
      <c r="N129" s="4" t="s">
        <v>22</v>
      </c>
      <c r="O129" s="10">
        <f t="shared" si="22"/>
        <v>2</v>
      </c>
      <c r="P129" s="4" t="s">
        <v>34</v>
      </c>
      <c r="Q129" s="10">
        <f t="shared" si="23"/>
        <v>1</v>
      </c>
      <c r="R129" s="4" t="s">
        <v>29</v>
      </c>
      <c r="S129" s="4" t="s">
        <v>22</v>
      </c>
    </row>
    <row r="130" spans="1:19" ht="22.5" customHeight="1" x14ac:dyDescent="0.25">
      <c r="A130" s="3">
        <v>46073</v>
      </c>
      <c r="B130" s="4" t="s">
        <v>13</v>
      </c>
      <c r="C130" s="10">
        <f t="shared" ref="C130:C144" si="24">IF(B130="Below 18 years",1,IF(B130="18–25 years",2,IF(B130="25–35 years",3,"")))</f>
        <v>2</v>
      </c>
      <c r="D130" s="4" t="s">
        <v>14</v>
      </c>
      <c r="E130" s="10">
        <f t="shared" ref="E130:E144" si="25">IF(D130="Male",1,IF(D130="Female",2,""))</f>
        <v>1</v>
      </c>
      <c r="F130" s="4" t="s">
        <v>15</v>
      </c>
      <c r="G130" s="5" t="s">
        <v>31</v>
      </c>
      <c r="H130" s="13">
        <f t="shared" ref="H130:H144" si="26">IF(G130="1–2",1,IF(G130="3-5",2,IF(G130="6+",3,"")))</f>
        <v>2</v>
      </c>
      <c r="I130" s="4" t="s">
        <v>36</v>
      </c>
      <c r="J130" s="8">
        <f t="shared" ref="J130:J144" si="27">IF(I130="&lt;1 kg",1,IF(I130="1–2 kg",2,IF(I130="2–5 kg",3,IF(I130="&gt;5 kg",4,""))))</f>
        <v>4</v>
      </c>
      <c r="K130" s="4" t="s">
        <v>18</v>
      </c>
      <c r="L130" s="4" t="s">
        <v>39</v>
      </c>
      <c r="M130" s="4" t="s">
        <v>20</v>
      </c>
      <c r="N130" s="4" t="s">
        <v>22</v>
      </c>
      <c r="O130" s="10">
        <f t="shared" ref="O130:O144" si="28">IF(N130="Yes",1,IF(N130="No",2,""))</f>
        <v>2</v>
      </c>
      <c r="P130" s="4" t="s">
        <v>21</v>
      </c>
      <c r="Q130" s="10">
        <f t="shared" ref="Q130:Q144" si="29">IF(P130="No",0,IF(P130="Not Sure",1,IF(P130="Yes",2,"")))</f>
        <v>2</v>
      </c>
      <c r="R130" s="4" t="s">
        <v>23</v>
      </c>
      <c r="S130" s="4" t="s">
        <v>22</v>
      </c>
    </row>
    <row r="131" spans="1:19" ht="22.5" customHeight="1" x14ac:dyDescent="0.25">
      <c r="A131" s="3">
        <v>46073</v>
      </c>
      <c r="B131" s="4" t="s">
        <v>56</v>
      </c>
      <c r="C131" s="10">
        <f t="shared" si="24"/>
        <v>3</v>
      </c>
      <c r="D131" s="4" t="s">
        <v>42</v>
      </c>
      <c r="E131" s="10">
        <f t="shared" si="25"/>
        <v>2</v>
      </c>
      <c r="F131" s="4" t="s">
        <v>15</v>
      </c>
      <c r="G131" s="4" t="s">
        <v>16</v>
      </c>
      <c r="H131" s="12">
        <f t="shared" si="26"/>
        <v>1</v>
      </c>
      <c r="I131" s="4" t="s">
        <v>25</v>
      </c>
      <c r="J131" s="8">
        <f t="shared" si="27"/>
        <v>2</v>
      </c>
      <c r="K131" s="4" t="s">
        <v>32</v>
      </c>
      <c r="L131" s="4" t="s">
        <v>44</v>
      </c>
      <c r="M131" s="4" t="s">
        <v>20</v>
      </c>
      <c r="N131" s="4" t="s">
        <v>22</v>
      </c>
      <c r="O131" s="10">
        <f t="shared" si="28"/>
        <v>2</v>
      </c>
      <c r="P131" s="4" t="s">
        <v>34</v>
      </c>
      <c r="Q131" s="10">
        <f t="shared" si="29"/>
        <v>1</v>
      </c>
      <c r="R131" s="4" t="s">
        <v>47</v>
      </c>
      <c r="S131" s="4" t="s">
        <v>21</v>
      </c>
    </row>
    <row r="132" spans="1:19" ht="22.5" customHeight="1" x14ac:dyDescent="0.25">
      <c r="A132" s="3">
        <v>46073</v>
      </c>
      <c r="B132" s="4" t="s">
        <v>13</v>
      </c>
      <c r="C132" s="10">
        <f t="shared" si="24"/>
        <v>2</v>
      </c>
      <c r="D132" s="4" t="s">
        <v>42</v>
      </c>
      <c r="E132" s="10">
        <f t="shared" si="25"/>
        <v>2</v>
      </c>
      <c r="F132" s="4" t="s">
        <v>51</v>
      </c>
      <c r="G132" s="4" t="s">
        <v>48</v>
      </c>
      <c r="H132" s="12">
        <f t="shared" si="26"/>
        <v>3</v>
      </c>
      <c r="I132" s="4" t="s">
        <v>17</v>
      </c>
      <c r="J132" s="8">
        <f t="shared" si="27"/>
        <v>1</v>
      </c>
      <c r="K132" s="4" t="s">
        <v>43</v>
      </c>
      <c r="L132" s="4" t="s">
        <v>19</v>
      </c>
      <c r="M132" s="4" t="s">
        <v>28</v>
      </c>
      <c r="N132" s="4" t="s">
        <v>21</v>
      </c>
      <c r="O132" s="10">
        <f t="shared" si="28"/>
        <v>1</v>
      </c>
      <c r="P132" s="4" t="s">
        <v>21</v>
      </c>
      <c r="Q132" s="10">
        <f t="shared" si="29"/>
        <v>2</v>
      </c>
      <c r="R132" s="4" t="s">
        <v>47</v>
      </c>
      <c r="S132" s="4" t="s">
        <v>22</v>
      </c>
    </row>
    <row r="133" spans="1:19" ht="22.5" customHeight="1" x14ac:dyDescent="0.25">
      <c r="A133" s="3">
        <v>46073</v>
      </c>
      <c r="B133" s="4" t="s">
        <v>13</v>
      </c>
      <c r="C133" s="10">
        <f t="shared" si="24"/>
        <v>2</v>
      </c>
      <c r="D133" s="4" t="s">
        <v>14</v>
      </c>
      <c r="E133" s="10">
        <f t="shared" si="25"/>
        <v>1</v>
      </c>
      <c r="F133" s="4" t="s">
        <v>52</v>
      </c>
      <c r="G133" s="5" t="s">
        <v>31</v>
      </c>
      <c r="H133" s="13">
        <f t="shared" si="26"/>
        <v>2</v>
      </c>
      <c r="I133" s="4" t="s">
        <v>25</v>
      </c>
      <c r="J133" s="8">
        <f t="shared" si="27"/>
        <v>2</v>
      </c>
      <c r="K133" s="4" t="s">
        <v>26</v>
      </c>
      <c r="L133" s="4" t="s">
        <v>62</v>
      </c>
      <c r="M133" s="4" t="s">
        <v>28</v>
      </c>
      <c r="N133" s="4" t="s">
        <v>21</v>
      </c>
      <c r="O133" s="10">
        <f t="shared" si="28"/>
        <v>1</v>
      </c>
      <c r="P133" s="4" t="s">
        <v>21</v>
      </c>
      <c r="Q133" s="10">
        <f t="shared" si="29"/>
        <v>2</v>
      </c>
      <c r="R133" s="4" t="s">
        <v>47</v>
      </c>
      <c r="S133" s="4" t="s">
        <v>21</v>
      </c>
    </row>
    <row r="134" spans="1:19" ht="22.5" customHeight="1" x14ac:dyDescent="0.25">
      <c r="A134" s="3">
        <v>46073</v>
      </c>
      <c r="B134" s="4" t="s">
        <v>13</v>
      </c>
      <c r="C134" s="10">
        <f t="shared" si="24"/>
        <v>2</v>
      </c>
      <c r="D134" s="4" t="s">
        <v>14</v>
      </c>
      <c r="E134" s="10">
        <f t="shared" si="25"/>
        <v>1</v>
      </c>
      <c r="F134" s="4" t="s">
        <v>24</v>
      </c>
      <c r="G134" s="5" t="s">
        <v>31</v>
      </c>
      <c r="H134" s="13">
        <f t="shared" si="26"/>
        <v>2</v>
      </c>
      <c r="I134" s="4" t="s">
        <v>17</v>
      </c>
      <c r="J134" s="8">
        <f t="shared" si="27"/>
        <v>1</v>
      </c>
      <c r="K134" s="4" t="s">
        <v>43</v>
      </c>
      <c r="L134" s="4" t="s">
        <v>54</v>
      </c>
      <c r="M134" s="4" t="s">
        <v>20</v>
      </c>
      <c r="N134" s="4" t="s">
        <v>21</v>
      </c>
      <c r="O134" s="10">
        <f t="shared" si="28"/>
        <v>1</v>
      </c>
      <c r="P134" s="4" t="s">
        <v>34</v>
      </c>
      <c r="Q134" s="10">
        <f t="shared" si="29"/>
        <v>1</v>
      </c>
      <c r="R134" s="4" t="s">
        <v>47</v>
      </c>
      <c r="S134" s="4" t="s">
        <v>21</v>
      </c>
    </row>
    <row r="135" spans="1:19" ht="22.5" customHeight="1" x14ac:dyDescent="0.25">
      <c r="A135" s="3">
        <v>46073</v>
      </c>
      <c r="B135" s="4" t="s">
        <v>13</v>
      </c>
      <c r="C135" s="10">
        <f t="shared" si="24"/>
        <v>2</v>
      </c>
      <c r="D135" s="4" t="s">
        <v>14</v>
      </c>
      <c r="E135" s="10">
        <f t="shared" si="25"/>
        <v>1</v>
      </c>
      <c r="F135" s="4" t="s">
        <v>24</v>
      </c>
      <c r="G135" s="5" t="s">
        <v>31</v>
      </c>
      <c r="H135" s="13">
        <f t="shared" si="26"/>
        <v>2</v>
      </c>
      <c r="I135" s="4" t="s">
        <v>36</v>
      </c>
      <c r="J135" s="8">
        <f t="shared" si="27"/>
        <v>4</v>
      </c>
      <c r="K135" s="4" t="s">
        <v>55</v>
      </c>
      <c r="L135" s="4" t="s">
        <v>62</v>
      </c>
      <c r="M135" s="4" t="s">
        <v>28</v>
      </c>
      <c r="N135" s="4" t="s">
        <v>22</v>
      </c>
      <c r="O135" s="10">
        <f t="shared" si="28"/>
        <v>2</v>
      </c>
      <c r="P135" s="4" t="s">
        <v>22</v>
      </c>
      <c r="Q135" s="10">
        <f t="shared" si="29"/>
        <v>0</v>
      </c>
      <c r="R135" s="4" t="s">
        <v>47</v>
      </c>
      <c r="S135" s="4" t="s">
        <v>21</v>
      </c>
    </row>
    <row r="136" spans="1:19" ht="22.5" customHeight="1" x14ac:dyDescent="0.25">
      <c r="A136" s="3">
        <v>46073</v>
      </c>
      <c r="B136" s="4" t="s">
        <v>13</v>
      </c>
      <c r="C136" s="10">
        <f t="shared" si="24"/>
        <v>2</v>
      </c>
      <c r="D136" s="4" t="s">
        <v>14</v>
      </c>
      <c r="E136" s="10">
        <f t="shared" si="25"/>
        <v>1</v>
      </c>
      <c r="F136" s="4" t="s">
        <v>52</v>
      </c>
      <c r="G136" s="5" t="s">
        <v>31</v>
      </c>
      <c r="H136" s="13">
        <f t="shared" si="26"/>
        <v>2</v>
      </c>
      <c r="I136" s="4" t="s">
        <v>40</v>
      </c>
      <c r="J136" s="8">
        <f t="shared" si="27"/>
        <v>3</v>
      </c>
      <c r="K136" s="4" t="s">
        <v>43</v>
      </c>
      <c r="L136" s="4" t="s">
        <v>44</v>
      </c>
      <c r="M136" s="4" t="s">
        <v>28</v>
      </c>
      <c r="N136" s="4" t="s">
        <v>21</v>
      </c>
      <c r="O136" s="10">
        <f t="shared" si="28"/>
        <v>1</v>
      </c>
      <c r="P136" s="4" t="s">
        <v>34</v>
      </c>
      <c r="Q136" s="10">
        <f t="shared" si="29"/>
        <v>1</v>
      </c>
      <c r="R136" s="4" t="s">
        <v>29</v>
      </c>
      <c r="S136" s="4" t="s">
        <v>22</v>
      </c>
    </row>
    <row r="137" spans="1:19" ht="22.5" customHeight="1" x14ac:dyDescent="0.25">
      <c r="A137" s="3">
        <v>46073</v>
      </c>
      <c r="B137" s="4" t="s">
        <v>13</v>
      </c>
      <c r="C137" s="10">
        <f t="shared" si="24"/>
        <v>2</v>
      </c>
      <c r="D137" s="4" t="s">
        <v>14</v>
      </c>
      <c r="E137" s="10">
        <f t="shared" si="25"/>
        <v>1</v>
      </c>
      <c r="F137" s="4" t="s">
        <v>57</v>
      </c>
      <c r="G137" s="4" t="s">
        <v>16</v>
      </c>
      <c r="H137" s="12">
        <f t="shared" si="26"/>
        <v>1</v>
      </c>
      <c r="I137" s="4" t="s">
        <v>25</v>
      </c>
      <c r="J137" s="8">
        <f t="shared" si="27"/>
        <v>2</v>
      </c>
      <c r="K137" s="4" t="s">
        <v>49</v>
      </c>
      <c r="L137" s="4" t="s">
        <v>45</v>
      </c>
      <c r="M137" s="4" t="s">
        <v>28</v>
      </c>
      <c r="N137" s="4" t="s">
        <v>21</v>
      </c>
      <c r="O137" s="10">
        <f t="shared" si="28"/>
        <v>1</v>
      </c>
      <c r="P137" s="4" t="s">
        <v>22</v>
      </c>
      <c r="Q137" s="10">
        <f t="shared" si="29"/>
        <v>0</v>
      </c>
      <c r="R137" s="4" t="s">
        <v>29</v>
      </c>
      <c r="S137" s="4" t="s">
        <v>21</v>
      </c>
    </row>
    <row r="138" spans="1:19" ht="22.5" customHeight="1" x14ac:dyDescent="0.25">
      <c r="A138" s="3">
        <v>46073</v>
      </c>
      <c r="B138" s="4" t="s">
        <v>13</v>
      </c>
      <c r="C138" s="10">
        <f t="shared" si="24"/>
        <v>2</v>
      </c>
      <c r="D138" s="4" t="s">
        <v>14</v>
      </c>
      <c r="E138" s="10">
        <f t="shared" si="25"/>
        <v>1</v>
      </c>
      <c r="F138" s="4" t="s">
        <v>15</v>
      </c>
      <c r="G138" s="4" t="s">
        <v>16</v>
      </c>
      <c r="H138" s="12">
        <f t="shared" si="26"/>
        <v>1</v>
      </c>
      <c r="I138" s="4" t="s">
        <v>25</v>
      </c>
      <c r="J138" s="8">
        <f t="shared" si="27"/>
        <v>2</v>
      </c>
      <c r="K138" s="4" t="s">
        <v>43</v>
      </c>
      <c r="L138" s="4" t="s">
        <v>45</v>
      </c>
      <c r="M138" s="4" t="s">
        <v>20</v>
      </c>
      <c r="N138" s="4" t="s">
        <v>22</v>
      </c>
      <c r="O138" s="10">
        <f t="shared" si="28"/>
        <v>2</v>
      </c>
      <c r="P138" s="4" t="s">
        <v>22</v>
      </c>
      <c r="Q138" s="10">
        <f t="shared" si="29"/>
        <v>0</v>
      </c>
      <c r="R138" s="4" t="s">
        <v>29</v>
      </c>
      <c r="S138" s="4" t="s">
        <v>22</v>
      </c>
    </row>
    <row r="139" spans="1:19" ht="22.5" customHeight="1" x14ac:dyDescent="0.25">
      <c r="A139" s="3">
        <v>46073</v>
      </c>
      <c r="B139" s="4" t="s">
        <v>13</v>
      </c>
      <c r="C139" s="10">
        <f t="shared" si="24"/>
        <v>2</v>
      </c>
      <c r="D139" s="4" t="s">
        <v>14</v>
      </c>
      <c r="E139" s="10">
        <f t="shared" si="25"/>
        <v>1</v>
      </c>
      <c r="F139" s="4" t="s">
        <v>52</v>
      </c>
      <c r="G139" s="4" t="s">
        <v>16</v>
      </c>
      <c r="H139" s="12">
        <f t="shared" si="26"/>
        <v>1</v>
      </c>
      <c r="I139" s="4" t="s">
        <v>25</v>
      </c>
      <c r="J139" s="8">
        <f t="shared" si="27"/>
        <v>2</v>
      </c>
      <c r="K139" s="4" t="s">
        <v>43</v>
      </c>
      <c r="L139" s="4" t="s">
        <v>33</v>
      </c>
      <c r="M139" s="4" t="s">
        <v>28</v>
      </c>
      <c r="N139" s="4" t="s">
        <v>22</v>
      </c>
      <c r="O139" s="10">
        <f t="shared" si="28"/>
        <v>2</v>
      </c>
      <c r="P139" s="4" t="s">
        <v>21</v>
      </c>
      <c r="Q139" s="10">
        <f t="shared" si="29"/>
        <v>2</v>
      </c>
      <c r="R139" s="4" t="s">
        <v>29</v>
      </c>
      <c r="S139" s="4" t="s">
        <v>22</v>
      </c>
    </row>
    <row r="140" spans="1:19" ht="22.5" customHeight="1" x14ac:dyDescent="0.25">
      <c r="A140" s="3">
        <v>46074</v>
      </c>
      <c r="B140" s="4" t="s">
        <v>13</v>
      </c>
      <c r="C140" s="10">
        <f t="shared" si="24"/>
        <v>2</v>
      </c>
      <c r="D140" s="4" t="s">
        <v>14</v>
      </c>
      <c r="E140" s="10">
        <f t="shared" si="25"/>
        <v>1</v>
      </c>
      <c r="F140" s="4" t="s">
        <v>15</v>
      </c>
      <c r="G140" s="4" t="s">
        <v>16</v>
      </c>
      <c r="H140" s="12">
        <f t="shared" si="26"/>
        <v>1</v>
      </c>
      <c r="I140" s="4" t="s">
        <v>40</v>
      </c>
      <c r="J140" s="8">
        <f t="shared" si="27"/>
        <v>3</v>
      </c>
      <c r="K140" s="4" t="s">
        <v>26</v>
      </c>
      <c r="L140" s="4" t="s">
        <v>19</v>
      </c>
      <c r="M140" s="4" t="s">
        <v>28</v>
      </c>
      <c r="N140" s="4" t="s">
        <v>21</v>
      </c>
      <c r="O140" s="10">
        <f t="shared" si="28"/>
        <v>1</v>
      </c>
      <c r="P140" s="4" t="s">
        <v>22</v>
      </c>
      <c r="Q140" s="10">
        <f t="shared" si="29"/>
        <v>0</v>
      </c>
      <c r="R140" s="4" t="s">
        <v>35</v>
      </c>
      <c r="S140" s="4" t="s">
        <v>21</v>
      </c>
    </row>
    <row r="141" spans="1:19" ht="22.5" customHeight="1" x14ac:dyDescent="0.25">
      <c r="A141" s="3">
        <v>46074</v>
      </c>
      <c r="B141" s="4" t="s">
        <v>59</v>
      </c>
      <c r="C141" s="10">
        <f t="shared" si="24"/>
        <v>1</v>
      </c>
      <c r="D141" s="4" t="s">
        <v>42</v>
      </c>
      <c r="E141" s="10">
        <f t="shared" si="25"/>
        <v>2</v>
      </c>
      <c r="F141" s="4" t="s">
        <v>57</v>
      </c>
      <c r="G141" s="4" t="s">
        <v>16</v>
      </c>
      <c r="H141" s="12">
        <f t="shared" si="26"/>
        <v>1</v>
      </c>
      <c r="I141" s="4" t="s">
        <v>25</v>
      </c>
      <c r="J141" s="8">
        <f t="shared" si="27"/>
        <v>2</v>
      </c>
      <c r="K141" s="4" t="s">
        <v>49</v>
      </c>
      <c r="L141" s="4" t="s">
        <v>44</v>
      </c>
      <c r="M141" s="4" t="s">
        <v>60</v>
      </c>
      <c r="N141" s="4" t="s">
        <v>22</v>
      </c>
      <c r="O141" s="10">
        <f t="shared" si="28"/>
        <v>2</v>
      </c>
      <c r="P141" s="4" t="s">
        <v>21</v>
      </c>
      <c r="Q141" s="10">
        <f t="shared" si="29"/>
        <v>2</v>
      </c>
      <c r="R141" s="4" t="s">
        <v>35</v>
      </c>
      <c r="S141" s="4" t="s">
        <v>22</v>
      </c>
    </row>
    <row r="142" spans="1:19" ht="22.5" customHeight="1" x14ac:dyDescent="0.25">
      <c r="A142" s="3">
        <v>46074</v>
      </c>
      <c r="B142" s="4" t="s">
        <v>59</v>
      </c>
      <c r="C142" s="10">
        <f t="shared" si="24"/>
        <v>1</v>
      </c>
      <c r="D142" s="4" t="s">
        <v>42</v>
      </c>
      <c r="E142" s="10">
        <f t="shared" si="25"/>
        <v>2</v>
      </c>
      <c r="F142" s="4" t="s">
        <v>52</v>
      </c>
      <c r="G142" s="4" t="s">
        <v>16</v>
      </c>
      <c r="H142" s="12">
        <f t="shared" si="26"/>
        <v>1</v>
      </c>
      <c r="I142" s="4" t="s">
        <v>36</v>
      </c>
      <c r="J142" s="8">
        <f t="shared" si="27"/>
        <v>4</v>
      </c>
      <c r="K142" s="4" t="s">
        <v>37</v>
      </c>
      <c r="L142" s="4" t="s">
        <v>27</v>
      </c>
      <c r="M142" s="4" t="s">
        <v>28</v>
      </c>
      <c r="N142" s="4" t="s">
        <v>21</v>
      </c>
      <c r="O142" s="10">
        <f t="shared" si="28"/>
        <v>1</v>
      </c>
      <c r="P142" s="4" t="s">
        <v>21</v>
      </c>
      <c r="Q142" s="10">
        <f t="shared" si="29"/>
        <v>2</v>
      </c>
      <c r="R142" s="4" t="s">
        <v>29</v>
      </c>
      <c r="S142" s="4" t="s">
        <v>22</v>
      </c>
    </row>
    <row r="143" spans="1:19" ht="22.5" customHeight="1" x14ac:dyDescent="0.25">
      <c r="A143" s="3">
        <v>46074</v>
      </c>
      <c r="B143" s="4" t="s">
        <v>13</v>
      </c>
      <c r="C143" s="10">
        <f t="shared" si="24"/>
        <v>2</v>
      </c>
      <c r="D143" s="4" t="s">
        <v>42</v>
      </c>
      <c r="E143" s="10">
        <f t="shared" si="25"/>
        <v>2</v>
      </c>
      <c r="F143" s="4" t="s">
        <v>15</v>
      </c>
      <c r="G143" s="4" t="s">
        <v>48</v>
      </c>
      <c r="H143" s="12">
        <f t="shared" si="26"/>
        <v>3</v>
      </c>
      <c r="I143" s="4" t="s">
        <v>25</v>
      </c>
      <c r="J143" s="8">
        <f t="shared" si="27"/>
        <v>2</v>
      </c>
      <c r="K143" s="4" t="s">
        <v>32</v>
      </c>
      <c r="L143" s="4" t="s">
        <v>45</v>
      </c>
      <c r="M143" s="4" t="s">
        <v>28</v>
      </c>
      <c r="N143" s="4" t="s">
        <v>22</v>
      </c>
      <c r="O143" s="10">
        <f t="shared" si="28"/>
        <v>2</v>
      </c>
      <c r="P143" s="4" t="s">
        <v>21</v>
      </c>
      <c r="Q143" s="10">
        <f t="shared" si="29"/>
        <v>2</v>
      </c>
      <c r="R143" s="4" t="s">
        <v>23</v>
      </c>
      <c r="S143" s="4" t="s">
        <v>22</v>
      </c>
    </row>
    <row r="144" spans="1:19" ht="22.5" customHeight="1" x14ac:dyDescent="0.25">
      <c r="A144" s="3">
        <v>46074</v>
      </c>
      <c r="B144" s="4" t="s">
        <v>13</v>
      </c>
      <c r="C144" s="10">
        <f t="shared" si="24"/>
        <v>2</v>
      </c>
      <c r="D144" s="4" t="s">
        <v>14</v>
      </c>
      <c r="E144" s="10">
        <f t="shared" si="25"/>
        <v>1</v>
      </c>
      <c r="F144" s="4" t="s">
        <v>30</v>
      </c>
      <c r="G144" s="4" t="s">
        <v>48</v>
      </c>
      <c r="H144" s="12">
        <f t="shared" si="26"/>
        <v>3</v>
      </c>
      <c r="I144" s="4" t="s">
        <v>25</v>
      </c>
      <c r="J144" s="8">
        <f t="shared" si="27"/>
        <v>2</v>
      </c>
      <c r="K144" s="4" t="s">
        <v>37</v>
      </c>
      <c r="L144" s="4" t="s">
        <v>50</v>
      </c>
      <c r="M144" s="4" t="s">
        <v>60</v>
      </c>
      <c r="N144" s="4" t="s">
        <v>21</v>
      </c>
      <c r="O144" s="10">
        <f t="shared" si="28"/>
        <v>1</v>
      </c>
      <c r="P144" s="4" t="s">
        <v>22</v>
      </c>
      <c r="Q144" s="10">
        <f t="shared" si="29"/>
        <v>0</v>
      </c>
      <c r="R144" s="4" t="s">
        <v>35</v>
      </c>
      <c r="S144" s="4" t="s">
        <v>21</v>
      </c>
    </row>
  </sheetData>
  <dataValidations count="1">
    <dataValidation type="custom" allowBlank="1" showDropDown="1" sqref="A2:A144" xr:uid="{00000000-0002-0000-0000-000000000000}">
      <formula1>OR(NOT(ISERROR(DATEVALUE(A2))), AND(ISNUMBER(A2), LEFT(CELL("format", A2))="D"))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A2E4-D950-4D04-BEA6-DE2CC16B8876}">
  <dimension ref="A1:C11"/>
  <sheetViews>
    <sheetView workbookViewId="0">
      <selection activeCell="H21" sqref="H21"/>
    </sheetView>
  </sheetViews>
  <sheetFormatPr defaultRowHeight="13.2" x14ac:dyDescent="0.25"/>
  <cols>
    <col min="1" max="1" width="27.6640625" customWidth="1"/>
    <col min="2" max="2" width="24.6640625" customWidth="1"/>
    <col min="3" max="3" width="12.5546875" bestFit="1" customWidth="1"/>
  </cols>
  <sheetData>
    <row r="1" spans="1:3" x14ac:dyDescent="0.25">
      <c r="A1" s="21" t="s">
        <v>77</v>
      </c>
      <c r="B1" s="17">
        <v>1</v>
      </c>
      <c r="C1" s="17">
        <v>0</v>
      </c>
    </row>
    <row r="2" spans="1:3" x14ac:dyDescent="0.25">
      <c r="A2" t="s">
        <v>69</v>
      </c>
      <c r="B2" s="19">
        <v>1.5070422535211268</v>
      </c>
      <c r="C2" s="19">
        <v>0.94366197183098588</v>
      </c>
    </row>
    <row r="3" spans="1:3" x14ac:dyDescent="0.25">
      <c r="A3" t="s">
        <v>78</v>
      </c>
      <c r="B3" s="19">
        <v>1</v>
      </c>
      <c r="C3" s="19">
        <v>2</v>
      </c>
    </row>
    <row r="4" spans="1:3" x14ac:dyDescent="0.25">
      <c r="A4" t="s">
        <v>79</v>
      </c>
      <c r="B4" s="19">
        <v>142</v>
      </c>
      <c r="C4" s="19">
        <v>142</v>
      </c>
    </row>
    <row r="5" spans="1:3" x14ac:dyDescent="0.25">
      <c r="A5" t="s">
        <v>80</v>
      </c>
      <c r="B5" s="19">
        <v>0</v>
      </c>
      <c r="C5" s="19"/>
    </row>
    <row r="6" spans="1:3" x14ac:dyDescent="0.25">
      <c r="A6" t="s">
        <v>81</v>
      </c>
      <c r="B6" s="19">
        <v>3.8760126648920741</v>
      </c>
      <c r="C6" s="19"/>
    </row>
    <row r="7" spans="1:3" x14ac:dyDescent="0.25">
      <c r="A7" t="s">
        <v>82</v>
      </c>
      <c r="B7" s="19">
        <v>5.3091079829648002E-5</v>
      </c>
      <c r="C7" s="19"/>
    </row>
    <row r="8" spans="1:3" x14ac:dyDescent="0.25">
      <c r="A8" t="s">
        <v>83</v>
      </c>
      <c r="B8" s="19">
        <v>1.6448536269514715</v>
      </c>
      <c r="C8" s="19"/>
    </row>
    <row r="9" spans="1:3" x14ac:dyDescent="0.25">
      <c r="A9" t="s">
        <v>84</v>
      </c>
      <c r="B9" s="19">
        <v>1.06182159659296E-4</v>
      </c>
      <c r="C9" s="19"/>
    </row>
    <row r="10" spans="1:3" x14ac:dyDescent="0.25">
      <c r="A10" s="18" t="s">
        <v>85</v>
      </c>
      <c r="B10" s="20">
        <v>1.9599639845400536</v>
      </c>
      <c r="C10" s="20"/>
    </row>
    <row r="11" spans="1:3" x14ac:dyDescent="0.25">
      <c r="B11" s="11"/>
      <c r="C1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1B98-79C2-4A25-B867-515F5746406F}">
  <dimension ref="A1:H22"/>
  <sheetViews>
    <sheetView workbookViewId="0">
      <selection activeCell="D29" sqref="D29"/>
    </sheetView>
  </sheetViews>
  <sheetFormatPr defaultRowHeight="13.2" x14ac:dyDescent="0.25"/>
  <cols>
    <col min="1" max="1" width="18" customWidth="1"/>
    <col min="2" max="2" width="16" customWidth="1"/>
    <col min="3" max="3" width="17.88671875" customWidth="1"/>
    <col min="4" max="4" width="29.21875" customWidth="1"/>
    <col min="5" max="5" width="16.6640625" customWidth="1"/>
    <col min="6" max="6" width="18.77734375" customWidth="1"/>
    <col min="7" max="7" width="18.33203125" customWidth="1"/>
  </cols>
  <sheetData>
    <row r="1" spans="1:8" x14ac:dyDescent="0.25">
      <c r="A1" s="25"/>
      <c r="B1" s="25" t="s">
        <v>64</v>
      </c>
      <c r="C1" s="25" t="s">
        <v>65</v>
      </c>
      <c r="D1" s="25" t="s">
        <v>66</v>
      </c>
      <c r="E1" s="25" t="s">
        <v>63</v>
      </c>
      <c r="F1" s="25" t="s">
        <v>67</v>
      </c>
      <c r="G1" s="25" t="s">
        <v>68</v>
      </c>
    </row>
    <row r="2" spans="1:8" x14ac:dyDescent="0.25">
      <c r="A2" s="22" t="s">
        <v>69</v>
      </c>
      <c r="B2" s="26">
        <v>2.0279720279720279</v>
      </c>
      <c r="C2" s="26">
        <v>1.4685314685314685</v>
      </c>
      <c r="D2" s="26">
        <v>1.7202797202797202</v>
      </c>
      <c r="E2" s="26">
        <v>2.2517482517482517</v>
      </c>
      <c r="F2" s="26">
        <v>1.5034965034965035</v>
      </c>
      <c r="G2" s="26">
        <v>0.93706293706293708</v>
      </c>
    </row>
    <row r="3" spans="1:8" x14ac:dyDescent="0.25">
      <c r="A3" s="22" t="s">
        <v>71</v>
      </c>
      <c r="B3" s="26">
        <v>0.31273567888211667</v>
      </c>
      <c r="C3" s="26">
        <v>0.50076273941444216</v>
      </c>
      <c r="D3" s="26">
        <v>0.69612199843024114</v>
      </c>
      <c r="E3" s="26">
        <v>0.83470945833773291</v>
      </c>
      <c r="F3" s="26">
        <v>0.50174520600425443</v>
      </c>
      <c r="G3" s="26">
        <v>0.81549072081130458</v>
      </c>
    </row>
    <row r="4" spans="1:8" x14ac:dyDescent="0.25">
      <c r="A4" s="22" t="s">
        <v>72</v>
      </c>
      <c r="B4" s="26">
        <v>7.393926299235309</v>
      </c>
      <c r="C4" s="26">
        <v>-2.0120935874140735</v>
      </c>
      <c r="D4" s="26">
        <v>-0.86907854457743206</v>
      </c>
      <c r="E4" s="26">
        <v>-3.0837071218106527E-2</v>
      </c>
      <c r="F4" s="26">
        <v>-2.0283687943262443</v>
      </c>
      <c r="G4" s="26">
        <v>-1.486668196317174</v>
      </c>
    </row>
    <row r="5" spans="1:8" x14ac:dyDescent="0.25">
      <c r="A5" s="22" t="s">
        <v>73</v>
      </c>
      <c r="B5" s="26">
        <v>0.66115422223978493</v>
      </c>
      <c r="C5" s="26">
        <v>0.12746512911220345</v>
      </c>
      <c r="D5" s="26">
        <v>0.44194226978255413</v>
      </c>
      <c r="E5" s="26">
        <v>0.60171330675121537</v>
      </c>
      <c r="F5" s="26">
        <v>-1.4135059980025611E-2</v>
      </c>
      <c r="G5" s="26">
        <v>0.11675827137111608</v>
      </c>
    </row>
    <row r="6" spans="1:8" x14ac:dyDescent="0.25">
      <c r="A6" s="22" t="s">
        <v>74</v>
      </c>
      <c r="B6" s="26">
        <v>1</v>
      </c>
      <c r="C6" s="26">
        <v>1</v>
      </c>
      <c r="D6" s="26">
        <v>1</v>
      </c>
      <c r="E6" s="26">
        <v>1</v>
      </c>
      <c r="F6" s="26">
        <v>1</v>
      </c>
      <c r="G6" s="26">
        <v>0</v>
      </c>
    </row>
    <row r="7" spans="1:8" x14ac:dyDescent="0.25">
      <c r="A7" s="22" t="s">
        <v>75</v>
      </c>
      <c r="B7" s="26">
        <v>3</v>
      </c>
      <c r="C7" s="26">
        <v>2</v>
      </c>
      <c r="D7" s="26">
        <v>3</v>
      </c>
      <c r="E7" s="26">
        <v>4</v>
      </c>
      <c r="F7" s="26">
        <v>2</v>
      </c>
      <c r="G7" s="26">
        <v>2</v>
      </c>
    </row>
    <row r="8" spans="1:8" ht="13.8" thickBot="1" x14ac:dyDescent="0.3">
      <c r="A8" s="23" t="s">
        <v>76</v>
      </c>
      <c r="B8" s="27">
        <v>143</v>
      </c>
      <c r="C8" s="27">
        <v>143</v>
      </c>
      <c r="D8" s="27">
        <v>143</v>
      </c>
      <c r="E8" s="27">
        <v>143</v>
      </c>
      <c r="F8" s="27">
        <v>143</v>
      </c>
      <c r="G8" s="27">
        <v>143</v>
      </c>
    </row>
    <row r="16" spans="1:8" x14ac:dyDescent="0.25">
      <c r="A16" s="24" t="s">
        <v>86</v>
      </c>
      <c r="B16" s="30" t="s">
        <v>69</v>
      </c>
      <c r="C16" s="30" t="s">
        <v>71</v>
      </c>
      <c r="D16" s="30" t="s">
        <v>72</v>
      </c>
      <c r="E16" s="30" t="s">
        <v>73</v>
      </c>
      <c r="F16" s="30" t="s">
        <v>74</v>
      </c>
      <c r="G16" s="30" t="s">
        <v>75</v>
      </c>
      <c r="H16" s="30" t="s">
        <v>76</v>
      </c>
    </row>
    <row r="17" spans="1:8" x14ac:dyDescent="0.25">
      <c r="A17" s="28" t="s">
        <v>64</v>
      </c>
      <c r="B17" s="31">
        <v>2.0279720279720279</v>
      </c>
      <c r="C17" s="31">
        <v>0.31273567888211667</v>
      </c>
      <c r="D17" s="31">
        <v>7.393926299235309</v>
      </c>
      <c r="E17" s="31">
        <v>0.66115422223978493</v>
      </c>
      <c r="F17" s="31">
        <v>1</v>
      </c>
      <c r="G17" s="31">
        <v>3</v>
      </c>
      <c r="H17" s="31">
        <v>143</v>
      </c>
    </row>
    <row r="18" spans="1:8" x14ac:dyDescent="0.25">
      <c r="A18" s="28" t="s">
        <v>65</v>
      </c>
      <c r="B18" s="31">
        <v>1.4685314685314685</v>
      </c>
      <c r="C18" s="31">
        <v>0.50076273941444216</v>
      </c>
      <c r="D18" s="31">
        <v>-2.0120935874140735</v>
      </c>
      <c r="E18" s="31">
        <v>0.12746512911220345</v>
      </c>
      <c r="F18" s="31">
        <v>1</v>
      </c>
      <c r="G18" s="31">
        <v>2</v>
      </c>
      <c r="H18" s="31">
        <v>143</v>
      </c>
    </row>
    <row r="19" spans="1:8" x14ac:dyDescent="0.25">
      <c r="A19" s="28" t="s">
        <v>66</v>
      </c>
      <c r="B19" s="31">
        <v>1.7202797202797202</v>
      </c>
      <c r="C19" s="31">
        <v>0.69612199843024114</v>
      </c>
      <c r="D19" s="31">
        <v>-0.86907854457743206</v>
      </c>
      <c r="E19" s="31">
        <v>0.44194226978255413</v>
      </c>
      <c r="F19" s="31">
        <v>1</v>
      </c>
      <c r="G19" s="31">
        <v>3</v>
      </c>
      <c r="H19" s="31">
        <v>143</v>
      </c>
    </row>
    <row r="20" spans="1:8" x14ac:dyDescent="0.25">
      <c r="A20" s="28" t="s">
        <v>63</v>
      </c>
      <c r="B20" s="31">
        <v>2.2517482517482517</v>
      </c>
      <c r="C20" s="31">
        <v>0.83470945833773291</v>
      </c>
      <c r="D20" s="31">
        <v>-3.0837071218106527E-2</v>
      </c>
      <c r="E20" s="31">
        <v>0.60171330675121537</v>
      </c>
      <c r="F20" s="31">
        <v>1</v>
      </c>
      <c r="G20" s="31">
        <v>4</v>
      </c>
      <c r="H20" s="31">
        <v>143</v>
      </c>
    </row>
    <row r="21" spans="1:8" x14ac:dyDescent="0.25">
      <c r="A21" s="28" t="s">
        <v>67</v>
      </c>
      <c r="B21" s="31">
        <v>1.5034965034965035</v>
      </c>
      <c r="C21" s="31">
        <v>0.50174520600425443</v>
      </c>
      <c r="D21" s="31">
        <v>-2.0283687943262443</v>
      </c>
      <c r="E21" s="31">
        <v>-1.4135059980025611E-2</v>
      </c>
      <c r="F21" s="31">
        <v>1</v>
      </c>
      <c r="G21" s="31">
        <v>2</v>
      </c>
      <c r="H21" s="31">
        <v>143</v>
      </c>
    </row>
    <row r="22" spans="1:8" x14ac:dyDescent="0.25">
      <c r="A22" s="24" t="s">
        <v>68</v>
      </c>
      <c r="B22" s="32">
        <v>0.93706293706293708</v>
      </c>
      <c r="C22" s="32">
        <v>0.81549072081130458</v>
      </c>
      <c r="D22" s="32">
        <v>-1.486668196317174</v>
      </c>
      <c r="E22" s="32">
        <v>0.11675827137111608</v>
      </c>
      <c r="F22" s="32">
        <v>0</v>
      </c>
      <c r="G22" s="32">
        <v>2</v>
      </c>
      <c r="H22" s="32">
        <v>143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D715-DFC9-4DE5-8F60-3CBB7438B63D}">
  <dimension ref="A1:G7"/>
  <sheetViews>
    <sheetView workbookViewId="0">
      <selection activeCell="H19" sqref="H19"/>
    </sheetView>
  </sheetViews>
  <sheetFormatPr defaultRowHeight="13.2" x14ac:dyDescent="0.25"/>
  <cols>
    <col min="1" max="1" width="16.88671875" customWidth="1"/>
    <col min="2" max="2" width="14.21875" customWidth="1"/>
    <col min="3" max="3" width="14.77734375" customWidth="1"/>
    <col min="4" max="4" width="15.6640625" customWidth="1"/>
    <col min="5" max="5" width="13" customWidth="1"/>
    <col min="6" max="6" width="14.21875" customWidth="1"/>
    <col min="7" max="7" width="11.6640625" customWidth="1"/>
  </cols>
  <sheetData>
    <row r="1" spans="1:7" x14ac:dyDescent="0.25">
      <c r="A1" s="24"/>
      <c r="B1" s="24" t="s">
        <v>87</v>
      </c>
      <c r="C1" s="24" t="s">
        <v>88</v>
      </c>
      <c r="D1" s="24" t="s">
        <v>89</v>
      </c>
      <c r="E1" s="24" t="s">
        <v>90</v>
      </c>
      <c r="F1" s="24" t="s">
        <v>91</v>
      </c>
      <c r="G1" s="24" t="s">
        <v>92</v>
      </c>
    </row>
    <row r="2" spans="1:7" x14ac:dyDescent="0.25">
      <c r="A2" s="33" t="s">
        <v>87</v>
      </c>
      <c r="B2" s="22">
        <v>1</v>
      </c>
      <c r="C2" s="22"/>
      <c r="D2" s="22"/>
      <c r="E2" s="22"/>
      <c r="F2" s="22"/>
      <c r="G2" s="22"/>
    </row>
    <row r="3" spans="1:7" x14ac:dyDescent="0.25">
      <c r="A3" s="33" t="s">
        <v>93</v>
      </c>
      <c r="B3" s="22">
        <v>5.660290040105544E-3</v>
      </c>
      <c r="C3" s="22">
        <v>1</v>
      </c>
      <c r="D3" s="22"/>
      <c r="E3" s="22"/>
      <c r="F3" s="22"/>
      <c r="G3" s="22"/>
    </row>
    <row r="4" spans="1:7" x14ac:dyDescent="0.25">
      <c r="A4" s="33" t="s">
        <v>89</v>
      </c>
      <c r="B4" s="22">
        <v>-6.085063417133952E-2</v>
      </c>
      <c r="C4" s="22">
        <v>9.578289232633963E-2</v>
      </c>
      <c r="D4" s="22">
        <v>1</v>
      </c>
      <c r="E4" s="22"/>
      <c r="F4" s="22"/>
      <c r="G4" s="22"/>
    </row>
    <row r="5" spans="1:7" x14ac:dyDescent="0.25">
      <c r="A5" s="33" t="s">
        <v>90</v>
      </c>
      <c r="B5" s="22">
        <v>2.6788672737375424E-2</v>
      </c>
      <c r="C5" s="22">
        <v>3.5934211223469695E-2</v>
      </c>
      <c r="D5" s="22">
        <v>-5.9750843723574795E-2</v>
      </c>
      <c r="E5" s="22">
        <v>1</v>
      </c>
      <c r="F5" s="22"/>
      <c r="G5" s="22"/>
    </row>
    <row r="6" spans="1:7" x14ac:dyDescent="0.25">
      <c r="A6" s="33" t="s">
        <v>91</v>
      </c>
      <c r="B6" s="22">
        <v>4.4252118633416375E-2</v>
      </c>
      <c r="C6" s="22">
        <v>-2.058020417244372E-2</v>
      </c>
      <c r="D6" s="22">
        <v>-7.7829834318481936E-2</v>
      </c>
      <c r="E6" s="22">
        <v>0.11558741990184025</v>
      </c>
      <c r="F6" s="22">
        <v>1</v>
      </c>
      <c r="G6" s="22"/>
    </row>
    <row r="7" spans="1:7" x14ac:dyDescent="0.25">
      <c r="A7" s="34" t="s">
        <v>94</v>
      </c>
      <c r="B7" s="29">
        <v>-0.10350085870446597</v>
      </c>
      <c r="C7" s="29">
        <v>-3.075139121163932E-2</v>
      </c>
      <c r="D7" s="29">
        <v>-8.0851326290738698E-2</v>
      </c>
      <c r="E7" s="29">
        <v>2.7491906386123491E-3</v>
      </c>
      <c r="F7" s="29">
        <v>0.11241395794604767</v>
      </c>
      <c r="G7" s="2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B460-4D9D-46FD-B76A-95E4811C0A28}">
  <dimension ref="A1:I170"/>
  <sheetViews>
    <sheetView zoomScale="79" workbookViewId="0">
      <selection activeCell="H25" sqref="H25"/>
    </sheetView>
  </sheetViews>
  <sheetFormatPr defaultRowHeight="13.2" x14ac:dyDescent="0.25"/>
  <cols>
    <col min="1" max="1" width="18.33203125" customWidth="1"/>
    <col min="2" max="2" width="23.33203125" customWidth="1"/>
    <col min="3" max="3" width="19.77734375" customWidth="1"/>
    <col min="4" max="4" width="18.21875" customWidth="1"/>
    <col min="5" max="5" width="18.5546875" customWidth="1"/>
    <col min="6" max="6" width="22.6640625" customWidth="1"/>
    <col min="7" max="7" width="13.77734375" customWidth="1"/>
    <col min="8" max="8" width="15" customWidth="1"/>
    <col min="9" max="9" width="17.77734375" customWidth="1"/>
  </cols>
  <sheetData>
    <row r="1" spans="1:9" ht="13.8" thickBot="1" x14ac:dyDescent="0.3">
      <c r="A1" t="s">
        <v>95</v>
      </c>
    </row>
    <row r="2" spans="1:9" x14ac:dyDescent="0.25">
      <c r="A2" s="35" t="s">
        <v>96</v>
      </c>
      <c r="B2" s="35"/>
    </row>
    <row r="3" spans="1:9" x14ac:dyDescent="0.25">
      <c r="A3" s="22" t="s">
        <v>97</v>
      </c>
      <c r="B3" s="22">
        <v>0.17651550138544878</v>
      </c>
    </row>
    <row r="4" spans="1:9" x14ac:dyDescent="0.25">
      <c r="A4" s="22" t="s">
        <v>98</v>
      </c>
      <c r="B4" s="22">
        <v>3.1157722229356373E-2</v>
      </c>
    </row>
    <row r="5" spans="1:9" x14ac:dyDescent="0.25">
      <c r="A5" s="22" t="s">
        <v>99</v>
      </c>
      <c r="B5" s="22">
        <v>-4.2014849885503268E-3</v>
      </c>
    </row>
    <row r="6" spans="1:9" x14ac:dyDescent="0.25">
      <c r="A6" s="22" t="s">
        <v>70</v>
      </c>
      <c r="B6" s="22">
        <v>0.81720206116363059</v>
      </c>
    </row>
    <row r="7" spans="1:9" ht="13.8" thickBot="1" x14ac:dyDescent="0.3">
      <c r="A7" s="23" t="s">
        <v>79</v>
      </c>
      <c r="B7" s="23">
        <v>143</v>
      </c>
    </row>
    <row r="9" spans="1:9" ht="13.8" thickBot="1" x14ac:dyDescent="0.3">
      <c r="A9" t="s">
        <v>100</v>
      </c>
    </row>
    <row r="10" spans="1:9" x14ac:dyDescent="0.25">
      <c r="A10" s="25"/>
      <c r="B10" s="25" t="s">
        <v>105</v>
      </c>
      <c r="C10" s="25" t="s">
        <v>106</v>
      </c>
      <c r="D10" s="25" t="s">
        <v>107</v>
      </c>
      <c r="E10" s="25" t="s">
        <v>108</v>
      </c>
      <c r="F10" s="25" t="s">
        <v>109</v>
      </c>
    </row>
    <row r="11" spans="1:9" x14ac:dyDescent="0.25">
      <c r="A11" s="22" t="s">
        <v>101</v>
      </c>
      <c r="B11" s="36">
        <v>5</v>
      </c>
      <c r="C11" s="36">
        <v>2.9423348320645317</v>
      </c>
      <c r="D11" s="36">
        <v>0.5884669664129063</v>
      </c>
      <c r="E11" s="36">
        <v>0.88117705912754163</v>
      </c>
      <c r="F11" s="36">
        <v>0.49559618030128227</v>
      </c>
    </row>
    <row r="12" spans="1:9" x14ac:dyDescent="0.25">
      <c r="A12" s="22" t="s">
        <v>102</v>
      </c>
      <c r="B12" s="36">
        <v>137</v>
      </c>
      <c r="C12" s="36">
        <v>91.491231601501809</v>
      </c>
      <c r="D12" s="36">
        <v>0.66781920877008616</v>
      </c>
      <c r="E12" s="36"/>
      <c r="F12" s="36"/>
    </row>
    <row r="13" spans="1:9" ht="13.8" thickBot="1" x14ac:dyDescent="0.3">
      <c r="A13" s="23" t="s">
        <v>103</v>
      </c>
      <c r="B13" s="37">
        <v>142</v>
      </c>
      <c r="C13" s="37">
        <v>94.433566433566341</v>
      </c>
      <c r="D13" s="37"/>
      <c r="E13" s="37"/>
      <c r="F13" s="37"/>
    </row>
    <row r="14" spans="1:9" ht="13.8" thickBot="1" x14ac:dyDescent="0.3"/>
    <row r="15" spans="1:9" x14ac:dyDescent="0.25">
      <c r="A15" s="25"/>
      <c r="B15" s="25" t="s">
        <v>110</v>
      </c>
      <c r="C15" s="25" t="s">
        <v>70</v>
      </c>
      <c r="D15" s="25" t="s">
        <v>111</v>
      </c>
      <c r="E15" s="25" t="s">
        <v>112</v>
      </c>
      <c r="F15" s="25" t="s">
        <v>113</v>
      </c>
      <c r="G15" s="25" t="s">
        <v>114</v>
      </c>
      <c r="H15" s="25" t="s">
        <v>115</v>
      </c>
      <c r="I15" s="25" t="s">
        <v>116</v>
      </c>
    </row>
    <row r="16" spans="1:9" x14ac:dyDescent="0.25">
      <c r="A16" s="22" t="s">
        <v>104</v>
      </c>
      <c r="B16" s="36">
        <v>1.4881066025558978</v>
      </c>
      <c r="C16" s="36">
        <v>0.58277645697047387</v>
      </c>
      <c r="D16" s="36">
        <v>2.5534775551705104</v>
      </c>
      <c r="E16" s="36">
        <v>1.1759805595415238E-2</v>
      </c>
      <c r="F16" s="36">
        <v>0.33570624674411076</v>
      </c>
      <c r="G16" s="36">
        <v>2.640506958367685</v>
      </c>
      <c r="H16" s="36">
        <v>0.33570624674411076</v>
      </c>
      <c r="I16" s="36">
        <v>2.640506958367685</v>
      </c>
    </row>
    <row r="17" spans="1:9" x14ac:dyDescent="0.25">
      <c r="A17" s="22" t="s">
        <v>64</v>
      </c>
      <c r="B17" s="36">
        <v>-0.29410196584510528</v>
      </c>
      <c r="C17" s="36">
        <v>0.2199184535487512</v>
      </c>
      <c r="D17" s="36">
        <v>-1.3373228171591758</v>
      </c>
      <c r="E17" s="36">
        <v>0.18333337561571691</v>
      </c>
      <c r="F17" s="36">
        <v>-0.72897558005495133</v>
      </c>
      <c r="G17" s="36">
        <v>0.14077164836474082</v>
      </c>
      <c r="H17" s="36">
        <v>-0.72897558005495133</v>
      </c>
      <c r="I17" s="36">
        <v>0.14077164836474082</v>
      </c>
    </row>
    <row r="18" spans="1:9" x14ac:dyDescent="0.25">
      <c r="A18" s="22" t="s">
        <v>65</v>
      </c>
      <c r="B18" s="36">
        <v>-3.2501304323742312E-2</v>
      </c>
      <c r="C18" s="36">
        <v>0.13773201615498137</v>
      </c>
      <c r="D18" s="36">
        <v>-0.23597494054810461</v>
      </c>
      <c r="E18" s="36">
        <v>0.81380452810661119</v>
      </c>
      <c r="F18" s="36">
        <v>-0.30485689200273625</v>
      </c>
      <c r="G18" s="36">
        <v>0.23985428335525161</v>
      </c>
      <c r="H18" s="36">
        <v>-0.30485689200273625</v>
      </c>
      <c r="I18" s="36">
        <v>0.23985428335525161</v>
      </c>
    </row>
    <row r="19" spans="1:9" x14ac:dyDescent="0.25">
      <c r="A19" s="22" t="s">
        <v>66</v>
      </c>
      <c r="B19" s="36">
        <v>-9.106229555786001E-2</v>
      </c>
      <c r="C19" s="36">
        <v>9.9574101896016995E-2</v>
      </c>
      <c r="D19" s="36">
        <v>-0.91451786984686367</v>
      </c>
      <c r="E19" s="36">
        <v>0.36205155406045553</v>
      </c>
      <c r="F19" s="36">
        <v>-0.28796323258459861</v>
      </c>
      <c r="G19" s="36">
        <v>0.1058386414688786</v>
      </c>
      <c r="H19" s="36">
        <v>-0.28796323258459861</v>
      </c>
      <c r="I19" s="36">
        <v>0.1058386414688786</v>
      </c>
    </row>
    <row r="20" spans="1:9" x14ac:dyDescent="0.25">
      <c r="A20" s="22" t="s">
        <v>63</v>
      </c>
      <c r="B20" s="36">
        <v>-1.0873064788036969E-2</v>
      </c>
      <c r="C20" s="36">
        <v>8.2914455902393019E-2</v>
      </c>
      <c r="D20" s="36">
        <v>-0.13113593606447532</v>
      </c>
      <c r="E20" s="36">
        <v>0.89586014811251824</v>
      </c>
      <c r="F20" s="36">
        <v>-0.17483069784097868</v>
      </c>
      <c r="G20" s="36">
        <v>0.15308456826490477</v>
      </c>
      <c r="H20" s="36">
        <v>-0.17483069784097868</v>
      </c>
      <c r="I20" s="36">
        <v>0.15308456826490477</v>
      </c>
    </row>
    <row r="21" spans="1:9" ht="13.8" thickBot="1" x14ac:dyDescent="0.3">
      <c r="A21" s="23" t="s">
        <v>67</v>
      </c>
      <c r="B21" s="37">
        <v>0.1824095414258349</v>
      </c>
      <c r="C21" s="37">
        <v>0.13807461764156648</v>
      </c>
      <c r="D21" s="37">
        <v>1.3210939457341773</v>
      </c>
      <c r="E21" s="37">
        <v>0.18867231820110866</v>
      </c>
      <c r="F21" s="37">
        <v>-9.0623517126115577E-2</v>
      </c>
      <c r="G21" s="37">
        <v>0.45544259997778536</v>
      </c>
      <c r="H21" s="37">
        <v>-9.0623517126115577E-2</v>
      </c>
      <c r="I21" s="37">
        <v>0.45544259997778536</v>
      </c>
    </row>
    <row r="25" spans="1:9" x14ac:dyDescent="0.25">
      <c r="A25" t="s">
        <v>117</v>
      </c>
      <c r="E25" t="s">
        <v>121</v>
      </c>
    </row>
    <row r="26" spans="1:9" ht="13.8" thickBot="1" x14ac:dyDescent="0.3"/>
    <row r="27" spans="1:9" x14ac:dyDescent="0.25">
      <c r="A27" s="25" t="s">
        <v>118</v>
      </c>
      <c r="B27" s="25" t="s">
        <v>119</v>
      </c>
      <c r="C27" s="25" t="s">
        <v>120</v>
      </c>
      <c r="E27" s="25" t="s">
        <v>122</v>
      </c>
      <c r="F27" s="25" t="s">
        <v>68</v>
      </c>
    </row>
    <row r="28" spans="1:9" x14ac:dyDescent="0.25">
      <c r="A28" s="22">
        <v>1</v>
      </c>
      <c r="B28" s="22">
        <v>0.94787554762188275</v>
      </c>
      <c r="C28" s="22">
        <v>-0.94787554762188275</v>
      </c>
      <c r="E28" s="22">
        <v>0.34965034965034963</v>
      </c>
      <c r="F28" s="22">
        <v>0</v>
      </c>
    </row>
    <row r="29" spans="1:9" x14ac:dyDescent="0.25">
      <c r="A29" s="22">
        <v>2</v>
      </c>
      <c r="B29" s="22">
        <v>1.1194120242596808</v>
      </c>
      <c r="C29" s="22">
        <v>-1.1194120242596808</v>
      </c>
      <c r="E29" s="22">
        <v>1.048951048951049</v>
      </c>
      <c r="F29" s="22">
        <v>0</v>
      </c>
    </row>
    <row r="30" spans="1:9" x14ac:dyDescent="0.25">
      <c r="A30" s="22">
        <v>3</v>
      </c>
      <c r="B30" s="22">
        <v>0.84594018727598586</v>
      </c>
      <c r="C30" s="22">
        <v>0.15405981272401414</v>
      </c>
      <c r="E30" s="22">
        <v>1.7482517482517481</v>
      </c>
      <c r="F30" s="22">
        <v>0</v>
      </c>
    </row>
    <row r="31" spans="1:9" x14ac:dyDescent="0.25">
      <c r="A31" s="22">
        <v>4</v>
      </c>
      <c r="B31" s="22">
        <v>1.0066035991257469</v>
      </c>
      <c r="C31" s="22">
        <v>-6.6035991257469284E-3</v>
      </c>
      <c r="E31" s="22">
        <v>2.4475524475524475</v>
      </c>
      <c r="F31" s="22">
        <v>0</v>
      </c>
    </row>
    <row r="32" spans="1:9" x14ac:dyDescent="0.25">
      <c r="A32" s="22">
        <v>5</v>
      </c>
      <c r="B32" s="22">
        <v>1.0283497287018208</v>
      </c>
      <c r="C32" s="22">
        <v>-1.0283497287018208</v>
      </c>
      <c r="E32" s="22">
        <v>3.1468531468531467</v>
      </c>
      <c r="F32" s="22">
        <v>0</v>
      </c>
    </row>
    <row r="33" spans="1:6" x14ac:dyDescent="0.25">
      <c r="A33" s="22">
        <v>6</v>
      </c>
      <c r="B33" s="22">
        <v>1.1085389594716437</v>
      </c>
      <c r="C33" s="22">
        <v>0.89146104052835629</v>
      </c>
      <c r="E33" s="22">
        <v>3.8461538461538458</v>
      </c>
      <c r="F33" s="22">
        <v>0</v>
      </c>
    </row>
    <row r="34" spans="1:6" x14ac:dyDescent="0.25">
      <c r="A34" s="22">
        <v>7</v>
      </c>
      <c r="B34" s="22">
        <v>0.99584842437807852</v>
      </c>
      <c r="C34" s="22">
        <v>-0.99584842437807852</v>
      </c>
      <c r="E34" s="22">
        <v>4.5454545454545459</v>
      </c>
      <c r="F34" s="22">
        <v>0</v>
      </c>
    </row>
    <row r="35" spans="1:6" x14ac:dyDescent="0.25">
      <c r="A35" s="22">
        <v>8</v>
      </c>
      <c r="B35" s="22">
        <v>1.0869107199359385</v>
      </c>
      <c r="C35" s="22">
        <v>0.91308928006406154</v>
      </c>
      <c r="E35" s="22">
        <v>5.244755244755245</v>
      </c>
      <c r="F35" s="22">
        <v>0</v>
      </c>
    </row>
    <row r="36" spans="1:6" x14ac:dyDescent="0.25">
      <c r="A36" s="22">
        <v>9</v>
      </c>
      <c r="B36" s="22">
        <v>0.90450117851010348</v>
      </c>
      <c r="C36" s="22">
        <v>-0.90450117851010348</v>
      </c>
      <c r="E36" s="22">
        <v>5.9440559440559442</v>
      </c>
      <c r="F36" s="22">
        <v>0</v>
      </c>
    </row>
    <row r="37" spans="1:6" x14ac:dyDescent="0.25">
      <c r="A37" s="22">
        <v>10</v>
      </c>
      <c r="B37" s="22">
        <v>0.82419405769991194</v>
      </c>
      <c r="C37" s="22">
        <v>-0.82419405769991194</v>
      </c>
      <c r="E37" s="22">
        <v>6.6433566433566433</v>
      </c>
      <c r="F37" s="22">
        <v>0</v>
      </c>
    </row>
    <row r="38" spans="1:6" x14ac:dyDescent="0.25">
      <c r="A38" s="22">
        <v>11</v>
      </c>
      <c r="B38" s="22">
        <v>0.93728743314396068</v>
      </c>
      <c r="C38" s="22">
        <v>-0.93728743314396068</v>
      </c>
      <c r="E38" s="22">
        <v>7.3426573426573425</v>
      </c>
      <c r="F38" s="22">
        <v>0</v>
      </c>
    </row>
    <row r="39" spans="1:6" x14ac:dyDescent="0.25">
      <c r="A39" s="22">
        <v>12</v>
      </c>
      <c r="B39" s="22">
        <v>1.0869107199359385</v>
      </c>
      <c r="C39" s="22">
        <v>-8.6910719935938463E-2</v>
      </c>
      <c r="E39" s="22">
        <v>8.0419580419580416</v>
      </c>
      <c r="F39" s="22">
        <v>0</v>
      </c>
    </row>
    <row r="40" spans="1:6" x14ac:dyDescent="0.25">
      <c r="A40" s="22">
        <v>13</v>
      </c>
      <c r="B40" s="22">
        <v>0.7548778917181258</v>
      </c>
      <c r="C40" s="22">
        <v>0.2451221082818742</v>
      </c>
      <c r="E40" s="22">
        <v>8.7412587412587417</v>
      </c>
      <c r="F40" s="22">
        <v>0</v>
      </c>
    </row>
    <row r="41" spans="1:6" x14ac:dyDescent="0.25">
      <c r="A41" s="22">
        <v>14</v>
      </c>
      <c r="B41" s="22">
        <v>1.0174766639137838</v>
      </c>
      <c r="C41" s="22">
        <v>-1.0174766639137838</v>
      </c>
      <c r="E41" s="22">
        <v>9.44055944055944</v>
      </c>
      <c r="F41" s="22">
        <v>0</v>
      </c>
    </row>
    <row r="42" spans="1:6" x14ac:dyDescent="0.25">
      <c r="A42" s="22">
        <v>15</v>
      </c>
      <c r="B42" s="22">
        <v>1.0283497287018208</v>
      </c>
      <c r="C42" s="22">
        <v>0.97165027129817916</v>
      </c>
      <c r="E42" s="22">
        <v>10.13986013986014</v>
      </c>
      <c r="F42" s="22">
        <v>0</v>
      </c>
    </row>
    <row r="43" spans="1:6" x14ac:dyDescent="0.25">
      <c r="A43" s="22">
        <v>16</v>
      </c>
      <c r="B43" s="22">
        <v>1.1194120242596808</v>
      </c>
      <c r="C43" s="22">
        <v>0.88058797574031922</v>
      </c>
      <c r="E43" s="22">
        <v>10.839160839160838</v>
      </c>
      <c r="F43" s="22">
        <v>0</v>
      </c>
    </row>
    <row r="44" spans="1:6" x14ac:dyDescent="0.25">
      <c r="A44" s="22">
        <v>17</v>
      </c>
      <c r="B44" s="22">
        <v>0.72237658739438348</v>
      </c>
      <c r="C44" s="22">
        <v>-0.72237658739438348</v>
      </c>
      <c r="E44" s="22">
        <v>11.538461538461538</v>
      </c>
      <c r="F44" s="22">
        <v>0</v>
      </c>
    </row>
    <row r="45" spans="1:6" x14ac:dyDescent="0.25">
      <c r="A45" s="22">
        <v>18</v>
      </c>
      <c r="B45" s="22">
        <v>0.9370024828338458</v>
      </c>
      <c r="C45" s="22">
        <v>1.0629975171661541</v>
      </c>
      <c r="E45" s="22">
        <v>12.237762237762238</v>
      </c>
      <c r="F45" s="22">
        <v>0</v>
      </c>
    </row>
    <row r="46" spans="1:6" x14ac:dyDescent="0.25">
      <c r="A46" s="22">
        <v>19</v>
      </c>
      <c r="B46" s="22">
        <v>0.90450117851010348</v>
      </c>
      <c r="C46" s="22">
        <v>1.0954988214898966</v>
      </c>
      <c r="E46" s="22">
        <v>12.937062937062937</v>
      </c>
      <c r="F46" s="22">
        <v>0</v>
      </c>
    </row>
    <row r="47" spans="1:6" x14ac:dyDescent="0.25">
      <c r="A47" s="22">
        <v>20</v>
      </c>
      <c r="B47" s="22">
        <v>1.0977837847239753</v>
      </c>
      <c r="C47" s="22">
        <v>0.90221621527602469</v>
      </c>
      <c r="E47" s="22">
        <v>13.636363636363637</v>
      </c>
      <c r="F47" s="22">
        <v>0</v>
      </c>
    </row>
    <row r="48" spans="1:6" x14ac:dyDescent="0.25">
      <c r="A48" s="22">
        <v>21</v>
      </c>
      <c r="B48" s="22">
        <v>1.1085389594716437</v>
      </c>
      <c r="C48" s="22">
        <v>-0.10853895947164371</v>
      </c>
      <c r="E48" s="22">
        <v>14.335664335664335</v>
      </c>
      <c r="F48" s="22">
        <v>0</v>
      </c>
    </row>
    <row r="49" spans="1:6" x14ac:dyDescent="0.25">
      <c r="A49" s="22">
        <v>22</v>
      </c>
      <c r="B49" s="22">
        <v>0.9370024828338458</v>
      </c>
      <c r="C49" s="22">
        <v>-0.9370024828338458</v>
      </c>
      <c r="E49" s="22">
        <v>15.034965034965035</v>
      </c>
      <c r="F49" s="22">
        <v>0</v>
      </c>
    </row>
    <row r="50" spans="1:6" x14ac:dyDescent="0.25">
      <c r="A50" s="22">
        <v>23</v>
      </c>
      <c r="B50" s="22">
        <v>0.9370024828338458</v>
      </c>
      <c r="C50" s="22">
        <v>1.0629975171661541</v>
      </c>
      <c r="E50" s="22">
        <v>15.734265734265733</v>
      </c>
      <c r="F50" s="22">
        <v>0</v>
      </c>
    </row>
    <row r="51" spans="1:6" x14ac:dyDescent="0.25">
      <c r="A51" s="22">
        <v>24</v>
      </c>
      <c r="B51" s="22">
        <v>0.6211543874126666</v>
      </c>
      <c r="C51" s="22">
        <v>1.3788456125873334</v>
      </c>
      <c r="E51" s="22">
        <v>16.433566433566433</v>
      </c>
      <c r="F51" s="22">
        <v>0</v>
      </c>
    </row>
    <row r="52" spans="1:6" x14ac:dyDescent="0.25">
      <c r="A52" s="22">
        <v>25</v>
      </c>
      <c r="B52" s="22">
        <v>0.84594018727598586</v>
      </c>
      <c r="C52" s="22">
        <v>0.15405981272401414</v>
      </c>
      <c r="E52" s="22">
        <v>17.132867132867133</v>
      </c>
      <c r="F52" s="22">
        <v>0</v>
      </c>
    </row>
    <row r="53" spans="1:6" x14ac:dyDescent="0.25">
      <c r="A53" s="22">
        <v>26</v>
      </c>
      <c r="B53" s="22">
        <v>1.0283497287018208</v>
      </c>
      <c r="C53" s="22">
        <v>-2.8349728701820842E-2</v>
      </c>
      <c r="E53" s="22">
        <v>17.832167832167833</v>
      </c>
      <c r="F53" s="22">
        <v>0</v>
      </c>
    </row>
    <row r="54" spans="1:6" x14ac:dyDescent="0.25">
      <c r="A54" s="22">
        <v>27</v>
      </c>
      <c r="B54" s="22">
        <v>1.0283497287018208</v>
      </c>
      <c r="C54" s="22">
        <v>0.97165027129817916</v>
      </c>
      <c r="E54" s="22">
        <v>18.53146853146853</v>
      </c>
      <c r="F54" s="22">
        <v>0</v>
      </c>
    </row>
    <row r="55" spans="1:6" x14ac:dyDescent="0.25">
      <c r="A55" s="22">
        <v>28</v>
      </c>
      <c r="B55" s="22">
        <v>1.1085389594716437</v>
      </c>
      <c r="C55" s="22">
        <v>0.89146104052835629</v>
      </c>
      <c r="E55" s="22">
        <v>19.23076923076923</v>
      </c>
      <c r="F55" s="22">
        <v>0</v>
      </c>
    </row>
    <row r="56" spans="1:6" x14ac:dyDescent="0.25">
      <c r="A56" s="22">
        <v>29</v>
      </c>
      <c r="B56" s="22">
        <v>0.90478612882021836</v>
      </c>
      <c r="C56" s="22">
        <v>9.5213871179781639E-2</v>
      </c>
      <c r="E56" s="22">
        <v>19.93006993006993</v>
      </c>
      <c r="F56" s="22">
        <v>0</v>
      </c>
    </row>
    <row r="57" spans="1:6" x14ac:dyDescent="0.25">
      <c r="A57" s="22">
        <v>30</v>
      </c>
      <c r="B57" s="22">
        <v>1.1509152179091282</v>
      </c>
      <c r="C57" s="22">
        <v>-0.15091521790912821</v>
      </c>
      <c r="E57" s="22">
        <v>20.62937062937063</v>
      </c>
      <c r="F57" s="22">
        <v>0</v>
      </c>
    </row>
    <row r="58" spans="1:6" x14ac:dyDescent="0.25">
      <c r="A58" s="22">
        <v>31</v>
      </c>
      <c r="B58" s="22">
        <v>0.89362811372206652</v>
      </c>
      <c r="C58" s="22">
        <v>0.10637188627793348</v>
      </c>
      <c r="E58" s="22">
        <v>21.328671328671327</v>
      </c>
      <c r="F58" s="22">
        <v>0</v>
      </c>
    </row>
    <row r="59" spans="1:6" x14ac:dyDescent="0.25">
      <c r="A59" s="22">
        <v>32</v>
      </c>
      <c r="B59" s="22">
        <v>0.78193568930279622</v>
      </c>
      <c r="C59" s="22">
        <v>1.2180643106972038</v>
      </c>
      <c r="E59" s="22">
        <v>22.027972027972027</v>
      </c>
      <c r="F59" s="22">
        <v>0</v>
      </c>
    </row>
    <row r="60" spans="1:6" x14ac:dyDescent="0.25">
      <c r="A60" s="22">
        <v>33</v>
      </c>
      <c r="B60" s="22">
        <v>0.51933691710713825</v>
      </c>
      <c r="C60" s="22">
        <v>-0.51933691710713825</v>
      </c>
      <c r="E60" s="22">
        <v>22.727272727272727</v>
      </c>
      <c r="F60" s="22">
        <v>0</v>
      </c>
    </row>
    <row r="61" spans="1:6" x14ac:dyDescent="0.25">
      <c r="A61" s="22">
        <v>34</v>
      </c>
      <c r="B61" s="22">
        <v>1.0283497287018208</v>
      </c>
      <c r="C61" s="22">
        <v>-1.0283497287018208</v>
      </c>
      <c r="E61" s="22">
        <v>23.426573426573427</v>
      </c>
      <c r="F61" s="22">
        <v>0</v>
      </c>
    </row>
    <row r="62" spans="1:6" x14ac:dyDescent="0.25">
      <c r="A62" s="22">
        <v>35</v>
      </c>
      <c r="B62" s="22">
        <v>0.84594018727598586</v>
      </c>
      <c r="C62" s="22">
        <v>0.15405981272401414</v>
      </c>
      <c r="E62" s="22">
        <v>24.125874125874127</v>
      </c>
      <c r="F62" s="22">
        <v>0</v>
      </c>
    </row>
    <row r="63" spans="1:6" x14ac:dyDescent="0.25">
      <c r="A63" s="22">
        <v>36</v>
      </c>
      <c r="B63" s="22">
        <v>0.90450117851010348</v>
      </c>
      <c r="C63" s="22">
        <v>-0.90450117851010348</v>
      </c>
      <c r="E63" s="22">
        <v>24.825174825174823</v>
      </c>
      <c r="F63" s="22">
        <v>0</v>
      </c>
    </row>
    <row r="64" spans="1:6" x14ac:dyDescent="0.25">
      <c r="A64" s="22">
        <v>37</v>
      </c>
      <c r="B64" s="22">
        <v>0.99584842437807852</v>
      </c>
      <c r="C64" s="22">
        <v>4.1515756219214772E-3</v>
      </c>
      <c r="E64" s="22">
        <v>25.524475524475523</v>
      </c>
      <c r="F64" s="22">
        <v>0</v>
      </c>
    </row>
    <row r="65" spans="1:6" x14ac:dyDescent="0.25">
      <c r="A65" s="22">
        <v>38</v>
      </c>
      <c r="B65" s="22">
        <v>0.71150352260634653</v>
      </c>
      <c r="C65" s="22">
        <v>1.2884964773936534</v>
      </c>
      <c r="E65" s="22">
        <v>26.223776223776223</v>
      </c>
      <c r="F65" s="22">
        <v>0</v>
      </c>
    </row>
    <row r="66" spans="1:6" x14ac:dyDescent="0.25">
      <c r="A66" s="22">
        <v>39</v>
      </c>
      <c r="B66" s="22">
        <v>0.90478612882021836</v>
      </c>
      <c r="C66" s="22">
        <v>-0.90478612882021836</v>
      </c>
      <c r="E66" s="22">
        <v>26.923076923076923</v>
      </c>
      <c r="F66" s="22">
        <v>0</v>
      </c>
    </row>
    <row r="67" spans="1:6" x14ac:dyDescent="0.25">
      <c r="A67" s="22">
        <v>40</v>
      </c>
      <c r="B67" s="22">
        <v>0.80256581816420658</v>
      </c>
      <c r="C67" s="22">
        <v>-0.80256581816420658</v>
      </c>
      <c r="E67" s="22">
        <v>27.62237762237762</v>
      </c>
      <c r="F67" s="22">
        <v>0</v>
      </c>
    </row>
    <row r="68" spans="1:6" x14ac:dyDescent="0.25">
      <c r="A68" s="22">
        <v>41</v>
      </c>
      <c r="B68" s="22">
        <v>0.85681325206402281</v>
      </c>
      <c r="C68" s="22">
        <v>-0.85681325206402281</v>
      </c>
      <c r="E68" s="22">
        <v>28.32167832167832</v>
      </c>
      <c r="F68" s="22">
        <v>0</v>
      </c>
    </row>
    <row r="69" spans="1:6" x14ac:dyDescent="0.25">
      <c r="A69" s="22">
        <v>42</v>
      </c>
      <c r="B69" s="22">
        <v>0.72237658739438348</v>
      </c>
      <c r="C69" s="22">
        <v>-0.72237658739438348</v>
      </c>
      <c r="E69" s="22">
        <v>29.02097902097902</v>
      </c>
      <c r="F69" s="22">
        <v>0</v>
      </c>
    </row>
    <row r="70" spans="1:6" x14ac:dyDescent="0.25">
      <c r="A70" s="22">
        <v>43</v>
      </c>
      <c r="B70" s="22">
        <v>1.1194120242596808</v>
      </c>
      <c r="C70" s="22">
        <v>-1.1194120242596808</v>
      </c>
      <c r="E70" s="22">
        <v>29.72027972027972</v>
      </c>
      <c r="F70" s="22">
        <v>0</v>
      </c>
    </row>
    <row r="71" spans="1:6" x14ac:dyDescent="0.25">
      <c r="A71" s="22">
        <v>44</v>
      </c>
      <c r="B71" s="22">
        <v>0.8350671224879489</v>
      </c>
      <c r="C71" s="22">
        <v>0.1649328775120511</v>
      </c>
      <c r="E71" s="22">
        <v>30.41958041958042</v>
      </c>
      <c r="F71" s="22">
        <v>0</v>
      </c>
    </row>
    <row r="72" spans="1:6" x14ac:dyDescent="0.25">
      <c r="A72" s="22">
        <v>45</v>
      </c>
      <c r="B72" s="22">
        <v>0.90450117851010348</v>
      </c>
      <c r="C72" s="22">
        <v>9.5498821489896524E-2</v>
      </c>
      <c r="E72" s="22">
        <v>31.118881118881117</v>
      </c>
      <c r="F72" s="22">
        <v>0</v>
      </c>
    </row>
    <row r="73" spans="1:6" x14ac:dyDescent="0.25">
      <c r="A73" s="22">
        <v>46</v>
      </c>
      <c r="B73" s="22">
        <v>0.85681325206402281</v>
      </c>
      <c r="C73" s="22">
        <v>0.14318674793597719</v>
      </c>
      <c r="E73" s="22">
        <v>31.818181818181817</v>
      </c>
      <c r="F73" s="22">
        <v>0</v>
      </c>
    </row>
    <row r="74" spans="1:6" x14ac:dyDescent="0.25">
      <c r="A74" s="22">
        <v>47</v>
      </c>
      <c r="B74" s="22">
        <v>0.92612941804580884</v>
      </c>
      <c r="C74" s="22">
        <v>7.3870581954191161E-2</v>
      </c>
      <c r="E74" s="22">
        <v>32.517482517482513</v>
      </c>
      <c r="F74" s="22">
        <v>0</v>
      </c>
    </row>
    <row r="75" spans="1:6" x14ac:dyDescent="0.25">
      <c r="A75" s="22">
        <v>48</v>
      </c>
      <c r="B75" s="22">
        <v>0.80256581816420658</v>
      </c>
      <c r="C75" s="22">
        <v>0.19743418183579342</v>
      </c>
      <c r="E75" s="22">
        <v>33.216783216783213</v>
      </c>
      <c r="F75" s="22">
        <v>0</v>
      </c>
    </row>
    <row r="76" spans="1:6" x14ac:dyDescent="0.25">
      <c r="A76" s="22">
        <v>49</v>
      </c>
      <c r="B76" s="22">
        <v>0.81343888295224354</v>
      </c>
      <c r="C76" s="22">
        <v>-0.81343888295224354</v>
      </c>
      <c r="E76" s="22">
        <v>33.916083916083913</v>
      </c>
      <c r="F76" s="22">
        <v>0</v>
      </c>
    </row>
    <row r="77" spans="1:6" x14ac:dyDescent="0.25">
      <c r="A77" s="22">
        <v>50</v>
      </c>
      <c r="B77" s="22">
        <v>0.90450117851010348</v>
      </c>
      <c r="C77" s="22">
        <v>1.0954988214898966</v>
      </c>
      <c r="E77" s="22">
        <v>34.615384615384613</v>
      </c>
      <c r="F77" s="22">
        <v>0</v>
      </c>
    </row>
    <row r="78" spans="1:6" x14ac:dyDescent="0.25">
      <c r="A78" s="22">
        <v>51</v>
      </c>
      <c r="B78" s="22">
        <v>1.1085389594716437</v>
      </c>
      <c r="C78" s="22">
        <v>-0.10853895947164371</v>
      </c>
      <c r="E78" s="22">
        <v>35.314685314685313</v>
      </c>
      <c r="F78" s="22">
        <v>0</v>
      </c>
    </row>
    <row r="79" spans="1:6" x14ac:dyDescent="0.25">
      <c r="A79" s="22">
        <v>52</v>
      </c>
      <c r="B79" s="22">
        <v>0.74400482693008885</v>
      </c>
      <c r="C79" s="22">
        <v>0.25599517306991115</v>
      </c>
      <c r="E79" s="22">
        <v>36.013986013986006</v>
      </c>
      <c r="F79" s="22">
        <v>0</v>
      </c>
    </row>
    <row r="80" spans="1:6" x14ac:dyDescent="0.25">
      <c r="A80" s="22">
        <v>53</v>
      </c>
      <c r="B80" s="22">
        <v>1.0283497287018208</v>
      </c>
      <c r="C80" s="22">
        <v>-1.0283497287018208</v>
      </c>
      <c r="E80" s="22">
        <v>36.713286713286706</v>
      </c>
      <c r="F80" s="22">
        <v>1</v>
      </c>
    </row>
    <row r="81" spans="1:6" x14ac:dyDescent="0.25">
      <c r="A81" s="22">
        <v>54</v>
      </c>
      <c r="B81" s="22">
        <v>1.0283497287018208</v>
      </c>
      <c r="C81" s="22">
        <v>-2.8349728701820842E-2</v>
      </c>
      <c r="E81" s="22">
        <v>37.412587412587406</v>
      </c>
      <c r="F81" s="22">
        <v>1</v>
      </c>
    </row>
    <row r="82" spans="1:6" x14ac:dyDescent="0.25">
      <c r="A82" s="22">
        <v>55</v>
      </c>
      <c r="B82" s="22">
        <v>0.72237658739438348</v>
      </c>
      <c r="C82" s="22">
        <v>1.2776234126056165</v>
      </c>
      <c r="E82" s="22">
        <v>38.111888111888106</v>
      </c>
      <c r="F82" s="22">
        <v>1</v>
      </c>
    </row>
    <row r="83" spans="1:6" x14ac:dyDescent="0.25">
      <c r="A83" s="22">
        <v>56</v>
      </c>
      <c r="B83" s="22">
        <v>0.59952614787696124</v>
      </c>
      <c r="C83" s="22">
        <v>0.40047385212303876</v>
      </c>
      <c r="E83" s="22">
        <v>38.811188811188806</v>
      </c>
      <c r="F83" s="22">
        <v>1</v>
      </c>
    </row>
    <row r="84" spans="1:6" x14ac:dyDescent="0.25">
      <c r="A84" s="22">
        <v>57</v>
      </c>
      <c r="B84" s="22">
        <v>0.9370024828338458</v>
      </c>
      <c r="C84" s="22">
        <v>-0.9370024828338458</v>
      </c>
      <c r="E84" s="22">
        <v>39.510489510489506</v>
      </c>
      <c r="F84" s="22">
        <v>1</v>
      </c>
    </row>
    <row r="85" spans="1:6" x14ac:dyDescent="0.25">
      <c r="A85" s="22">
        <v>58</v>
      </c>
      <c r="B85" s="22">
        <v>0.81343888295224354</v>
      </c>
      <c r="C85" s="22">
        <v>0.18656111704775646</v>
      </c>
      <c r="E85" s="22">
        <v>40.209790209790206</v>
      </c>
      <c r="F85" s="22">
        <v>1</v>
      </c>
    </row>
    <row r="86" spans="1:6" x14ac:dyDescent="0.25">
      <c r="A86" s="22">
        <v>59</v>
      </c>
      <c r="B86" s="22">
        <v>1.0651645903598645</v>
      </c>
      <c r="C86" s="22">
        <v>-1.0651645903598645</v>
      </c>
      <c r="E86" s="22">
        <v>40.909090909090907</v>
      </c>
      <c r="F86" s="22">
        <v>1</v>
      </c>
    </row>
    <row r="87" spans="1:6" x14ac:dyDescent="0.25">
      <c r="A87" s="22">
        <v>60</v>
      </c>
      <c r="B87" s="22">
        <v>0.81343888295224354</v>
      </c>
      <c r="C87" s="22">
        <v>-0.81343888295224354</v>
      </c>
      <c r="E87" s="22">
        <v>41.608391608391607</v>
      </c>
      <c r="F87" s="22">
        <v>1</v>
      </c>
    </row>
    <row r="88" spans="1:6" x14ac:dyDescent="0.25">
      <c r="A88" s="22">
        <v>61</v>
      </c>
      <c r="B88" s="22">
        <v>0.90450117851010348</v>
      </c>
      <c r="C88" s="22">
        <v>1.0954988214898966</v>
      </c>
      <c r="E88" s="22">
        <v>42.307692307692299</v>
      </c>
      <c r="F88" s="22">
        <v>1</v>
      </c>
    </row>
    <row r="89" spans="1:6" x14ac:dyDescent="0.25">
      <c r="A89" s="22">
        <v>62</v>
      </c>
      <c r="B89" s="22">
        <v>0.81343888295224354</v>
      </c>
      <c r="C89" s="22">
        <v>-0.81343888295224354</v>
      </c>
      <c r="E89" s="22">
        <v>43.006993006993</v>
      </c>
      <c r="F89" s="22">
        <v>1</v>
      </c>
    </row>
    <row r="90" spans="1:6" x14ac:dyDescent="0.25">
      <c r="A90" s="22">
        <v>63</v>
      </c>
      <c r="B90" s="22">
        <v>1.0283497287018208</v>
      </c>
      <c r="C90" s="22">
        <v>0.97165027129817916</v>
      </c>
      <c r="E90" s="22">
        <v>43.7062937062937</v>
      </c>
      <c r="F90" s="22">
        <v>1</v>
      </c>
    </row>
    <row r="91" spans="1:6" x14ac:dyDescent="0.25">
      <c r="A91" s="22">
        <v>64</v>
      </c>
      <c r="B91" s="22">
        <v>0.91537424329814043</v>
      </c>
      <c r="C91" s="22">
        <v>-0.91537424329814043</v>
      </c>
      <c r="E91" s="22">
        <v>44.4055944055944</v>
      </c>
      <c r="F91" s="22">
        <v>1</v>
      </c>
    </row>
    <row r="92" spans="1:6" x14ac:dyDescent="0.25">
      <c r="A92" s="22">
        <v>65</v>
      </c>
      <c r="B92" s="22">
        <v>1.1771419650892498</v>
      </c>
      <c r="C92" s="22">
        <v>0.82285803491075016</v>
      </c>
      <c r="E92" s="22">
        <v>45.1048951048951</v>
      </c>
      <c r="F92" s="22">
        <v>1</v>
      </c>
    </row>
    <row r="93" spans="1:6" x14ac:dyDescent="0.25">
      <c r="A93" s="22">
        <v>66</v>
      </c>
      <c r="B93" s="22">
        <v>0.82431194774028049</v>
      </c>
      <c r="C93" s="22">
        <v>-0.82431194774028049</v>
      </c>
      <c r="E93" s="22">
        <v>45.8041958041958</v>
      </c>
      <c r="F93" s="22">
        <v>1</v>
      </c>
    </row>
    <row r="94" spans="1:6" x14ac:dyDescent="0.25">
      <c r="A94" s="22">
        <v>67</v>
      </c>
      <c r="B94" s="22">
        <v>0.69087339374493617</v>
      </c>
      <c r="C94" s="22">
        <v>-0.69087339374493617</v>
      </c>
      <c r="E94" s="22">
        <v>46.5034965034965</v>
      </c>
      <c r="F94" s="22">
        <v>1</v>
      </c>
    </row>
    <row r="95" spans="1:6" x14ac:dyDescent="0.25">
      <c r="A95" s="22">
        <v>68</v>
      </c>
      <c r="B95" s="22">
        <v>0.9370024828338458</v>
      </c>
      <c r="C95" s="22">
        <v>-0.9370024828338458</v>
      </c>
      <c r="E95" s="22">
        <v>47.2027972027972</v>
      </c>
      <c r="F95" s="22">
        <v>1</v>
      </c>
    </row>
    <row r="96" spans="1:6" x14ac:dyDescent="0.25">
      <c r="A96" s="22">
        <v>69</v>
      </c>
      <c r="B96" s="22">
        <v>0.97410229480200461</v>
      </c>
      <c r="C96" s="22">
        <v>-0.97410229480200461</v>
      </c>
      <c r="E96" s="22">
        <v>47.9020979020979</v>
      </c>
      <c r="F96" s="22">
        <v>1</v>
      </c>
    </row>
    <row r="97" spans="1:6" x14ac:dyDescent="0.25">
      <c r="A97" s="22">
        <v>70</v>
      </c>
      <c r="B97" s="22">
        <v>1.0651645903598645</v>
      </c>
      <c r="C97" s="22">
        <v>-6.5164590359864549E-2</v>
      </c>
      <c r="E97" s="22">
        <v>48.601398601398593</v>
      </c>
      <c r="F97" s="22">
        <v>1</v>
      </c>
    </row>
    <row r="98" spans="1:6" x14ac:dyDescent="0.25">
      <c r="A98" s="22">
        <v>71</v>
      </c>
      <c r="B98" s="22">
        <v>1.1085389594716437</v>
      </c>
      <c r="C98" s="22">
        <v>-1.1085389594716437</v>
      </c>
      <c r="E98" s="22">
        <v>49.300699300699293</v>
      </c>
      <c r="F98" s="22">
        <v>1</v>
      </c>
    </row>
    <row r="99" spans="1:6" x14ac:dyDescent="0.25">
      <c r="A99" s="22">
        <v>72</v>
      </c>
      <c r="B99" s="22">
        <v>1.0067214891661154</v>
      </c>
      <c r="C99" s="22">
        <v>-6.7214891661153686E-3</v>
      </c>
      <c r="E99" s="22">
        <v>49.999999999999993</v>
      </c>
      <c r="F99" s="22">
        <v>1</v>
      </c>
    </row>
    <row r="100" spans="1:6" x14ac:dyDescent="0.25">
      <c r="A100" s="22">
        <v>73</v>
      </c>
      <c r="B100" s="22">
        <v>0.99584842437807852</v>
      </c>
      <c r="C100" s="22">
        <v>4.1515756219214772E-3</v>
      </c>
      <c r="E100" s="22">
        <v>50.699300699300693</v>
      </c>
      <c r="F100" s="22">
        <v>1</v>
      </c>
    </row>
    <row r="101" spans="1:6" x14ac:dyDescent="0.25">
      <c r="A101" s="22">
        <v>74</v>
      </c>
      <c r="B101" s="22">
        <v>0.81343888295224354</v>
      </c>
      <c r="C101" s="22">
        <v>0.18656111704775646</v>
      </c>
      <c r="E101" s="22">
        <v>51.398601398601393</v>
      </c>
      <c r="F101" s="22">
        <v>1</v>
      </c>
    </row>
    <row r="102" spans="1:6" x14ac:dyDescent="0.25">
      <c r="A102" s="22">
        <v>75</v>
      </c>
      <c r="B102" s="22">
        <v>0.91537424329814043</v>
      </c>
      <c r="C102" s="22">
        <v>-0.91537424329814043</v>
      </c>
      <c r="E102" s="22">
        <v>52.097902097902093</v>
      </c>
      <c r="F102" s="22">
        <v>1</v>
      </c>
    </row>
    <row r="103" spans="1:6" x14ac:dyDescent="0.25">
      <c r="A103" s="22">
        <v>76</v>
      </c>
      <c r="B103" s="22">
        <v>0.84594018727598586</v>
      </c>
      <c r="C103" s="22">
        <v>0.15405981272401414</v>
      </c>
      <c r="E103" s="22">
        <v>52.797202797202793</v>
      </c>
      <c r="F103" s="22">
        <v>1</v>
      </c>
    </row>
    <row r="104" spans="1:6" x14ac:dyDescent="0.25">
      <c r="A104" s="22">
        <v>77</v>
      </c>
      <c r="B104" s="22">
        <v>0.72237658739438348</v>
      </c>
      <c r="C104" s="22">
        <v>1.2776234126056165</v>
      </c>
      <c r="E104" s="22">
        <v>53.496503496503493</v>
      </c>
      <c r="F104" s="22">
        <v>1</v>
      </c>
    </row>
    <row r="105" spans="1:6" x14ac:dyDescent="0.25">
      <c r="A105" s="22">
        <v>78</v>
      </c>
      <c r="B105" s="22">
        <v>0.99584842437807852</v>
      </c>
      <c r="C105" s="22">
        <v>1.0041515756219215</v>
      </c>
      <c r="E105" s="22">
        <v>54.195804195804193</v>
      </c>
      <c r="F105" s="22">
        <v>1</v>
      </c>
    </row>
    <row r="106" spans="1:6" x14ac:dyDescent="0.25">
      <c r="A106" s="22">
        <v>79</v>
      </c>
      <c r="B106" s="22">
        <v>1.1302850890477176</v>
      </c>
      <c r="C106" s="22">
        <v>0.86971491095228237</v>
      </c>
      <c r="E106" s="22">
        <v>54.895104895104886</v>
      </c>
      <c r="F106" s="22">
        <v>1</v>
      </c>
    </row>
    <row r="107" spans="1:6" x14ac:dyDescent="0.25">
      <c r="A107" s="22">
        <v>80</v>
      </c>
      <c r="B107" s="22">
        <v>1.0977837847239753</v>
      </c>
      <c r="C107" s="22">
        <v>-9.7783784723975309E-2</v>
      </c>
      <c r="E107" s="22">
        <v>55.594405594405586</v>
      </c>
      <c r="F107" s="22">
        <v>1</v>
      </c>
    </row>
    <row r="108" spans="1:6" x14ac:dyDescent="0.25">
      <c r="A108" s="22">
        <v>81</v>
      </c>
      <c r="B108" s="22">
        <v>0.98497535959004145</v>
      </c>
      <c r="C108" s="22">
        <v>1.5024640409958545E-2</v>
      </c>
      <c r="E108" s="22">
        <v>56.293706293706286</v>
      </c>
      <c r="F108" s="22">
        <v>1</v>
      </c>
    </row>
    <row r="109" spans="1:6" x14ac:dyDescent="0.25">
      <c r="A109" s="22">
        <v>82</v>
      </c>
      <c r="B109" s="22">
        <v>1.0857947192212751</v>
      </c>
      <c r="C109" s="22">
        <v>-8.5794719221275129E-2</v>
      </c>
      <c r="E109" s="22">
        <v>56.993006993006986</v>
      </c>
      <c r="F109" s="22">
        <v>1</v>
      </c>
    </row>
    <row r="110" spans="1:6" x14ac:dyDescent="0.25">
      <c r="A110" s="22">
        <v>83</v>
      </c>
      <c r="B110" s="22">
        <v>1.0066035991257469</v>
      </c>
      <c r="C110" s="22">
        <v>-6.6035991257469284E-3</v>
      </c>
      <c r="E110" s="22">
        <v>57.692307692307686</v>
      </c>
      <c r="F110" s="22">
        <v>1</v>
      </c>
    </row>
    <row r="111" spans="1:6" x14ac:dyDescent="0.25">
      <c r="A111" s="22">
        <v>84</v>
      </c>
      <c r="B111" s="22">
        <v>0.88275504893402956</v>
      </c>
      <c r="C111" s="22">
        <v>-0.88275504893402956</v>
      </c>
      <c r="E111" s="22">
        <v>58.391608391608386</v>
      </c>
      <c r="F111" s="22">
        <v>1</v>
      </c>
    </row>
    <row r="112" spans="1:6" x14ac:dyDescent="0.25">
      <c r="A112" s="22">
        <v>85</v>
      </c>
      <c r="B112" s="22">
        <v>1.1302850890477176</v>
      </c>
      <c r="C112" s="22">
        <v>-0.13028508904771763</v>
      </c>
      <c r="E112" s="22">
        <v>59.090909090909086</v>
      </c>
      <c r="F112" s="22">
        <v>1</v>
      </c>
    </row>
    <row r="113" spans="1:6" x14ac:dyDescent="0.25">
      <c r="A113" s="22">
        <v>86</v>
      </c>
      <c r="B113" s="22">
        <v>0.81343888295224354</v>
      </c>
      <c r="C113" s="22">
        <v>-0.81343888295224354</v>
      </c>
      <c r="E113" s="22">
        <v>59.790209790209786</v>
      </c>
      <c r="F113" s="22">
        <v>1</v>
      </c>
    </row>
    <row r="114" spans="1:6" x14ac:dyDescent="0.25">
      <c r="A114" s="22">
        <v>87</v>
      </c>
      <c r="B114" s="22">
        <v>1.0869107199359385</v>
      </c>
      <c r="C114" s="22">
        <v>0.91308928006406154</v>
      </c>
      <c r="E114" s="22">
        <v>60.489510489510486</v>
      </c>
      <c r="F114" s="22">
        <v>1</v>
      </c>
    </row>
    <row r="115" spans="1:6" x14ac:dyDescent="0.25">
      <c r="A115" s="22">
        <v>88</v>
      </c>
      <c r="B115" s="22">
        <v>0.63202745220070355</v>
      </c>
      <c r="C115" s="22">
        <v>0.36797254779929645</v>
      </c>
      <c r="E115" s="22">
        <v>61.188811188811179</v>
      </c>
      <c r="F115" s="22">
        <v>1</v>
      </c>
    </row>
    <row r="116" spans="1:6" x14ac:dyDescent="0.25">
      <c r="A116" s="22">
        <v>89</v>
      </c>
      <c r="B116" s="22">
        <v>0.7548778917181258</v>
      </c>
      <c r="C116" s="22">
        <v>-0.7548778917181258</v>
      </c>
      <c r="E116" s="22">
        <v>61.888111888111879</v>
      </c>
      <c r="F116" s="22">
        <v>1</v>
      </c>
    </row>
    <row r="117" spans="1:6" x14ac:dyDescent="0.25">
      <c r="A117" s="22">
        <v>90</v>
      </c>
      <c r="B117" s="22">
        <v>1.0283497287018208</v>
      </c>
      <c r="C117" s="22">
        <v>-2.8349728701820842E-2</v>
      </c>
      <c r="E117" s="22">
        <v>62.58741258741258</v>
      </c>
      <c r="F117" s="22">
        <v>1</v>
      </c>
    </row>
    <row r="118" spans="1:6" x14ac:dyDescent="0.25">
      <c r="A118" s="22">
        <v>91</v>
      </c>
      <c r="B118" s="22">
        <v>1.1194120242596808</v>
      </c>
      <c r="C118" s="22">
        <v>0.88058797574031922</v>
      </c>
      <c r="E118" s="22">
        <v>63.28671328671328</v>
      </c>
      <c r="F118" s="22">
        <v>1</v>
      </c>
    </row>
    <row r="119" spans="1:6" x14ac:dyDescent="0.25">
      <c r="A119" s="22">
        <v>92</v>
      </c>
      <c r="B119" s="22">
        <v>0.99584842437807852</v>
      </c>
      <c r="C119" s="22">
        <v>4.1515756219214772E-3</v>
      </c>
      <c r="E119" s="22">
        <v>63.98601398601398</v>
      </c>
      <c r="F119" s="22">
        <v>1</v>
      </c>
    </row>
    <row r="120" spans="1:6" x14ac:dyDescent="0.25">
      <c r="A120" s="22">
        <v>93</v>
      </c>
      <c r="B120" s="22">
        <v>0.72237658739438348</v>
      </c>
      <c r="C120" s="22">
        <v>-0.72237658739438348</v>
      </c>
      <c r="E120" s="22">
        <v>64.68531468531468</v>
      </c>
      <c r="F120" s="22">
        <v>1</v>
      </c>
    </row>
    <row r="121" spans="1:6" x14ac:dyDescent="0.25">
      <c r="A121" s="22">
        <v>94</v>
      </c>
      <c r="B121" s="22">
        <v>0.9370024828338458</v>
      </c>
      <c r="C121" s="22">
        <v>6.2997517166154204E-2</v>
      </c>
      <c r="E121" s="22">
        <v>65.384615384615373</v>
      </c>
      <c r="F121" s="22">
        <v>1</v>
      </c>
    </row>
    <row r="122" spans="1:6" x14ac:dyDescent="0.25">
      <c r="A122" s="22">
        <v>95</v>
      </c>
      <c r="B122" s="22">
        <v>0.9370024828338458</v>
      </c>
      <c r="C122" s="22">
        <v>1.0629975171661541</v>
      </c>
      <c r="E122" s="22">
        <v>66.08391608391608</v>
      </c>
      <c r="F122" s="22">
        <v>1</v>
      </c>
    </row>
    <row r="123" spans="1:6" x14ac:dyDescent="0.25">
      <c r="A123" s="22">
        <v>96</v>
      </c>
      <c r="B123" s="22">
        <v>0.82431194774028049</v>
      </c>
      <c r="C123" s="22">
        <v>1.1756880522597195</v>
      </c>
      <c r="E123" s="22">
        <v>66.783216783216773</v>
      </c>
      <c r="F123" s="22">
        <v>1</v>
      </c>
    </row>
    <row r="124" spans="1:6" x14ac:dyDescent="0.25">
      <c r="A124" s="22">
        <v>97</v>
      </c>
      <c r="B124" s="22">
        <v>1.0392227934898577</v>
      </c>
      <c r="C124" s="22">
        <v>0.96077720651014231</v>
      </c>
      <c r="E124" s="22">
        <v>67.48251748251748</v>
      </c>
      <c r="F124" s="22">
        <v>1</v>
      </c>
    </row>
    <row r="125" spans="1:6" x14ac:dyDescent="0.25">
      <c r="A125" s="22">
        <v>98</v>
      </c>
      <c r="B125" s="22">
        <v>0.63231240251081844</v>
      </c>
      <c r="C125" s="22">
        <v>-0.63231240251081844</v>
      </c>
      <c r="E125" s="22">
        <v>68.181818181818173</v>
      </c>
      <c r="F125" s="22">
        <v>1</v>
      </c>
    </row>
    <row r="126" spans="1:6" x14ac:dyDescent="0.25">
      <c r="A126" s="22">
        <v>99</v>
      </c>
      <c r="B126" s="22">
        <v>0.85681325206402281</v>
      </c>
      <c r="C126" s="22">
        <v>0.14318674793597719</v>
      </c>
      <c r="E126" s="22">
        <v>68.88111888111888</v>
      </c>
      <c r="F126" s="22">
        <v>1</v>
      </c>
    </row>
    <row r="127" spans="1:6" x14ac:dyDescent="0.25">
      <c r="A127" s="22">
        <v>100</v>
      </c>
      <c r="B127" s="22">
        <v>1.1194120242596808</v>
      </c>
      <c r="C127" s="22">
        <v>-0.11941202425968078</v>
      </c>
      <c r="E127" s="22">
        <v>69.580419580419573</v>
      </c>
      <c r="F127" s="22">
        <v>1</v>
      </c>
    </row>
    <row r="128" spans="1:6" x14ac:dyDescent="0.25">
      <c r="A128" s="22">
        <v>101</v>
      </c>
      <c r="B128" s="22">
        <v>1.0067214891661154</v>
      </c>
      <c r="C128" s="22">
        <v>-1.0067214891661154</v>
      </c>
      <c r="E128" s="22">
        <v>70.27972027972028</v>
      </c>
      <c r="F128" s="22">
        <v>2</v>
      </c>
    </row>
    <row r="129" spans="1:6" x14ac:dyDescent="0.25">
      <c r="A129" s="22">
        <v>102</v>
      </c>
      <c r="B129" s="22">
        <v>0.76575095650616276</v>
      </c>
      <c r="C129" s="22">
        <v>0.23424904349383724</v>
      </c>
      <c r="E129" s="22">
        <v>70.979020979020973</v>
      </c>
      <c r="F129" s="22">
        <v>2</v>
      </c>
    </row>
    <row r="130" spans="1:6" x14ac:dyDescent="0.25">
      <c r="A130" s="22">
        <v>103</v>
      </c>
      <c r="B130" s="22">
        <v>0.84594018727598586</v>
      </c>
      <c r="C130" s="22">
        <v>1.154059812724014</v>
      </c>
      <c r="E130" s="22">
        <v>71.678321678321666</v>
      </c>
      <c r="F130" s="22">
        <v>2</v>
      </c>
    </row>
    <row r="131" spans="1:6" x14ac:dyDescent="0.25">
      <c r="A131" s="22">
        <v>104</v>
      </c>
      <c r="B131" s="22">
        <v>0.97410229480200461</v>
      </c>
      <c r="C131" s="22">
        <v>1.0258977051979954</v>
      </c>
      <c r="E131" s="22">
        <v>72.377622377622373</v>
      </c>
      <c r="F131" s="22">
        <v>2</v>
      </c>
    </row>
    <row r="132" spans="1:6" x14ac:dyDescent="0.25">
      <c r="A132" s="22">
        <v>105</v>
      </c>
      <c r="B132" s="22">
        <v>0.99584842437807852</v>
      </c>
      <c r="C132" s="22">
        <v>-0.99584842437807852</v>
      </c>
      <c r="E132" s="22">
        <v>73.076923076923066</v>
      </c>
      <c r="F132" s="22">
        <v>2</v>
      </c>
    </row>
    <row r="133" spans="1:6" x14ac:dyDescent="0.25">
      <c r="A133" s="22">
        <v>106</v>
      </c>
      <c r="B133" s="22">
        <v>1.1194120242596808</v>
      </c>
      <c r="C133" s="22">
        <v>-0.11941202425968078</v>
      </c>
      <c r="E133" s="22">
        <v>73.776223776223773</v>
      </c>
      <c r="F133" s="22">
        <v>2</v>
      </c>
    </row>
    <row r="134" spans="1:6" x14ac:dyDescent="0.25">
      <c r="A134" s="22">
        <v>107</v>
      </c>
      <c r="B134" s="22">
        <v>1.0283497287018208</v>
      </c>
      <c r="C134" s="22">
        <v>0.97165027129817916</v>
      </c>
      <c r="E134" s="22">
        <v>74.475524475524466</v>
      </c>
      <c r="F134" s="22">
        <v>2</v>
      </c>
    </row>
    <row r="135" spans="1:6" x14ac:dyDescent="0.25">
      <c r="A135" s="22">
        <v>108</v>
      </c>
      <c r="B135" s="22">
        <v>1.0760376551479014</v>
      </c>
      <c r="C135" s="22">
        <v>0.9239623448520986</v>
      </c>
      <c r="E135" s="22">
        <v>75.174825174825173</v>
      </c>
      <c r="F135" s="22">
        <v>2</v>
      </c>
    </row>
    <row r="136" spans="1:6" x14ac:dyDescent="0.25">
      <c r="A136" s="22">
        <v>109</v>
      </c>
      <c r="B136" s="22">
        <v>0.70174645853297313</v>
      </c>
      <c r="C136" s="22">
        <v>0.29825354146702687</v>
      </c>
      <c r="E136" s="22">
        <v>75.874125874125866</v>
      </c>
      <c r="F136" s="22">
        <v>2</v>
      </c>
    </row>
    <row r="137" spans="1:6" x14ac:dyDescent="0.25">
      <c r="A137" s="22">
        <v>110</v>
      </c>
      <c r="B137" s="22">
        <v>0.81343888295224354</v>
      </c>
      <c r="C137" s="22">
        <v>1.1865611170477566</v>
      </c>
      <c r="E137" s="22">
        <v>76.573426573426573</v>
      </c>
      <c r="F137" s="22">
        <v>2</v>
      </c>
    </row>
    <row r="138" spans="1:6" x14ac:dyDescent="0.25">
      <c r="A138" s="22">
        <v>111</v>
      </c>
      <c r="B138" s="22">
        <v>1.0869107199359385</v>
      </c>
      <c r="C138" s="22">
        <v>-1.0869107199359385</v>
      </c>
      <c r="E138" s="22">
        <v>77.272727272727266</v>
      </c>
      <c r="F138" s="22">
        <v>2</v>
      </c>
    </row>
    <row r="139" spans="1:6" x14ac:dyDescent="0.25">
      <c r="A139" s="22">
        <v>112</v>
      </c>
      <c r="B139" s="22">
        <v>1.0174766639137838</v>
      </c>
      <c r="C139" s="22">
        <v>0.98252333608621623</v>
      </c>
      <c r="E139" s="22">
        <v>77.972027972027959</v>
      </c>
      <c r="F139" s="22">
        <v>2</v>
      </c>
    </row>
    <row r="140" spans="1:6" x14ac:dyDescent="0.25">
      <c r="A140" s="22">
        <v>113</v>
      </c>
      <c r="B140" s="22">
        <v>1.0869107199359385</v>
      </c>
      <c r="C140" s="22">
        <v>-1.0869107199359385</v>
      </c>
      <c r="E140" s="22">
        <v>78.671328671328666</v>
      </c>
      <c r="F140" s="22">
        <v>2</v>
      </c>
    </row>
    <row r="141" spans="1:6" x14ac:dyDescent="0.25">
      <c r="A141" s="22">
        <v>114</v>
      </c>
      <c r="B141" s="22">
        <v>1.1085389594716437</v>
      </c>
      <c r="C141" s="22">
        <v>0.89146104052835629</v>
      </c>
      <c r="E141" s="22">
        <v>79.370629370629359</v>
      </c>
      <c r="F141" s="22">
        <v>2</v>
      </c>
    </row>
    <row r="142" spans="1:6" x14ac:dyDescent="0.25">
      <c r="A142" s="22">
        <v>115</v>
      </c>
      <c r="B142" s="22">
        <v>1.1194120242596808</v>
      </c>
      <c r="C142" s="22">
        <v>-0.11941202425968078</v>
      </c>
      <c r="E142" s="22">
        <v>80.069930069930066</v>
      </c>
      <c r="F142" s="22">
        <v>2</v>
      </c>
    </row>
    <row r="143" spans="1:6" x14ac:dyDescent="0.25">
      <c r="A143" s="22">
        <v>116</v>
      </c>
      <c r="B143" s="22">
        <v>0.97410229480200461</v>
      </c>
      <c r="C143" s="22">
        <v>-0.97410229480200461</v>
      </c>
      <c r="E143" s="22">
        <v>80.769230769230759</v>
      </c>
      <c r="F143" s="22">
        <v>2</v>
      </c>
    </row>
    <row r="144" spans="1:6" x14ac:dyDescent="0.25">
      <c r="A144" s="22">
        <v>117</v>
      </c>
      <c r="B144" s="22">
        <v>1.0283497287018208</v>
      </c>
      <c r="C144" s="22">
        <v>-1.0283497287018208</v>
      </c>
      <c r="E144" s="22">
        <v>81.468531468531467</v>
      </c>
      <c r="F144" s="22">
        <v>2</v>
      </c>
    </row>
    <row r="145" spans="1:6" x14ac:dyDescent="0.25">
      <c r="A145" s="22">
        <v>118</v>
      </c>
      <c r="B145" s="22">
        <v>0.80256581816420658</v>
      </c>
      <c r="C145" s="22">
        <v>-0.80256581816420658</v>
      </c>
      <c r="E145" s="22">
        <v>82.167832167832159</v>
      </c>
      <c r="F145" s="22">
        <v>2</v>
      </c>
    </row>
    <row r="146" spans="1:6" x14ac:dyDescent="0.25">
      <c r="A146" s="22">
        <v>119</v>
      </c>
      <c r="B146" s="22">
        <v>0.92612941804580884</v>
      </c>
      <c r="C146" s="22">
        <v>1.0738705819541912</v>
      </c>
      <c r="E146" s="22">
        <v>82.867132867132867</v>
      </c>
      <c r="F146" s="22">
        <v>2</v>
      </c>
    </row>
    <row r="147" spans="1:6" x14ac:dyDescent="0.25">
      <c r="A147" s="22">
        <v>120</v>
      </c>
      <c r="B147" s="22">
        <v>0.93728743314396068</v>
      </c>
      <c r="C147" s="22">
        <v>-0.93728743314396068</v>
      </c>
      <c r="E147" s="22">
        <v>83.56643356643356</v>
      </c>
      <c r="F147" s="22">
        <v>2</v>
      </c>
    </row>
    <row r="148" spans="1:6" x14ac:dyDescent="0.25">
      <c r="A148" s="22">
        <v>121</v>
      </c>
      <c r="B148" s="22">
        <v>0.9370024828338458</v>
      </c>
      <c r="C148" s="22">
        <v>6.2997517166154204E-2</v>
      </c>
      <c r="E148" s="22">
        <v>84.265734265734253</v>
      </c>
      <c r="F148" s="22">
        <v>2</v>
      </c>
    </row>
    <row r="149" spans="1:6" x14ac:dyDescent="0.25">
      <c r="A149" s="22">
        <v>122</v>
      </c>
      <c r="B149" s="22">
        <v>1.0067214891661154</v>
      </c>
      <c r="C149" s="22">
        <v>-6.7214891661153686E-3</v>
      </c>
      <c r="E149" s="22">
        <v>84.96503496503496</v>
      </c>
      <c r="F149" s="22">
        <v>2</v>
      </c>
    </row>
    <row r="150" spans="1:6" x14ac:dyDescent="0.25">
      <c r="A150" s="22">
        <v>123</v>
      </c>
      <c r="B150" s="22">
        <v>0.80256581816420658</v>
      </c>
      <c r="C150" s="22">
        <v>-0.80256581816420658</v>
      </c>
      <c r="E150" s="22">
        <v>85.664335664335653</v>
      </c>
      <c r="F150" s="22">
        <v>2</v>
      </c>
    </row>
    <row r="151" spans="1:6" x14ac:dyDescent="0.25">
      <c r="A151" s="22">
        <v>124</v>
      </c>
      <c r="B151" s="22">
        <v>0.99584842437807852</v>
      </c>
      <c r="C151" s="22">
        <v>1.0041515756219215</v>
      </c>
      <c r="E151" s="22">
        <v>86.36363636363636</v>
      </c>
      <c r="F151" s="22">
        <v>2</v>
      </c>
    </row>
    <row r="152" spans="1:6" x14ac:dyDescent="0.25">
      <c r="A152" s="22">
        <v>125</v>
      </c>
      <c r="B152" s="22">
        <v>0.9370024828338458</v>
      </c>
      <c r="C152" s="22">
        <v>-0.9370024828338458</v>
      </c>
      <c r="E152" s="22">
        <v>87.062937062937053</v>
      </c>
      <c r="F152" s="22">
        <v>2</v>
      </c>
    </row>
    <row r="153" spans="1:6" x14ac:dyDescent="0.25">
      <c r="A153" s="22">
        <v>126</v>
      </c>
      <c r="B153" s="22">
        <v>0.76575095650616276</v>
      </c>
      <c r="C153" s="22">
        <v>1.2342490434938371</v>
      </c>
      <c r="E153" s="22">
        <v>87.76223776223776</v>
      </c>
      <c r="F153" s="22">
        <v>2</v>
      </c>
    </row>
    <row r="154" spans="1:6" x14ac:dyDescent="0.25">
      <c r="A154" s="22">
        <v>127</v>
      </c>
      <c r="B154" s="22">
        <v>0.9370024828338458</v>
      </c>
      <c r="C154" s="22">
        <v>-0.9370024828338458</v>
      </c>
      <c r="E154" s="22">
        <v>88.461538461538453</v>
      </c>
      <c r="F154" s="22">
        <v>2</v>
      </c>
    </row>
    <row r="155" spans="1:6" x14ac:dyDescent="0.25">
      <c r="A155" s="22">
        <v>128</v>
      </c>
      <c r="B155" s="22">
        <v>1.1194120242596808</v>
      </c>
      <c r="C155" s="22">
        <v>-0.11941202425968078</v>
      </c>
      <c r="E155" s="22">
        <v>89.16083916083916</v>
      </c>
      <c r="F155" s="22">
        <v>2</v>
      </c>
    </row>
    <row r="156" spans="1:6" x14ac:dyDescent="0.25">
      <c r="A156" s="22">
        <v>129</v>
      </c>
      <c r="B156" s="22">
        <v>1.0066035991257469</v>
      </c>
      <c r="C156" s="22">
        <v>0.99339640087425307</v>
      </c>
      <c r="E156" s="22">
        <v>89.860139860139853</v>
      </c>
      <c r="F156" s="22">
        <v>2</v>
      </c>
    </row>
    <row r="157" spans="1:6" x14ac:dyDescent="0.25">
      <c r="A157" s="22">
        <v>130</v>
      </c>
      <c r="B157" s="22">
        <v>0.79280875409083318</v>
      </c>
      <c r="C157" s="22">
        <v>0.20719124590916682</v>
      </c>
      <c r="E157" s="22">
        <v>90.559440559440546</v>
      </c>
      <c r="F157" s="22">
        <v>2</v>
      </c>
    </row>
    <row r="158" spans="1:6" x14ac:dyDescent="0.25">
      <c r="A158" s="22">
        <v>131</v>
      </c>
      <c r="B158" s="22">
        <v>0.73324965218242044</v>
      </c>
      <c r="C158" s="22">
        <v>1.2667503478175797</v>
      </c>
      <c r="E158" s="22">
        <v>91.258741258741253</v>
      </c>
      <c r="F158" s="22">
        <v>2</v>
      </c>
    </row>
    <row r="159" spans="1:6" x14ac:dyDescent="0.25">
      <c r="A159" s="22">
        <v>132</v>
      </c>
      <c r="B159" s="22">
        <v>0.84594018727598586</v>
      </c>
      <c r="C159" s="22">
        <v>1.154059812724014</v>
      </c>
      <c r="E159" s="22">
        <v>91.958041958041946</v>
      </c>
      <c r="F159" s="22">
        <v>2</v>
      </c>
    </row>
    <row r="160" spans="1:6" x14ac:dyDescent="0.25">
      <c r="A160" s="22">
        <v>133</v>
      </c>
      <c r="B160" s="22">
        <v>0.85681325206402281</v>
      </c>
      <c r="C160" s="22">
        <v>0.14318674793597719</v>
      </c>
      <c r="E160" s="22">
        <v>92.657342657342653</v>
      </c>
      <c r="F160" s="22">
        <v>2</v>
      </c>
    </row>
    <row r="161" spans="1:6" x14ac:dyDescent="0.25">
      <c r="A161" s="22">
        <v>134</v>
      </c>
      <c r="B161" s="22">
        <v>1.0066035991257469</v>
      </c>
      <c r="C161" s="22">
        <v>-1.0066035991257469</v>
      </c>
      <c r="E161" s="22">
        <v>93.356643356643346</v>
      </c>
      <c r="F161" s="22">
        <v>2</v>
      </c>
    </row>
    <row r="162" spans="1:6" x14ac:dyDescent="0.25">
      <c r="A162" s="22">
        <v>135</v>
      </c>
      <c r="B162" s="22">
        <v>0.8350671224879489</v>
      </c>
      <c r="C162" s="22">
        <v>0.1649328775120511</v>
      </c>
      <c r="E162" s="22">
        <v>94.055944055944053</v>
      </c>
      <c r="F162" s="22">
        <v>2</v>
      </c>
    </row>
    <row r="163" spans="1:6" x14ac:dyDescent="0.25">
      <c r="A163" s="22">
        <v>136</v>
      </c>
      <c r="B163" s="22">
        <v>0.9370024828338458</v>
      </c>
      <c r="C163" s="22">
        <v>-0.9370024828338458</v>
      </c>
      <c r="E163" s="22">
        <v>94.755244755244746</v>
      </c>
      <c r="F163" s="22">
        <v>2</v>
      </c>
    </row>
    <row r="164" spans="1:6" x14ac:dyDescent="0.25">
      <c r="A164" s="22">
        <v>137</v>
      </c>
      <c r="B164" s="22">
        <v>1.1194120242596808</v>
      </c>
      <c r="C164" s="22">
        <v>-1.1194120242596808</v>
      </c>
      <c r="E164" s="22">
        <v>95.454545454545453</v>
      </c>
      <c r="F164" s="22">
        <v>2</v>
      </c>
    </row>
    <row r="165" spans="1:6" x14ac:dyDescent="0.25">
      <c r="A165" s="22">
        <v>138</v>
      </c>
      <c r="B165" s="22">
        <v>1.1194120242596808</v>
      </c>
      <c r="C165" s="22">
        <v>0.88058797574031922</v>
      </c>
      <c r="E165" s="22">
        <v>96.153846153846146</v>
      </c>
      <c r="F165" s="22">
        <v>2</v>
      </c>
    </row>
    <row r="166" spans="1:6" x14ac:dyDescent="0.25">
      <c r="A166" s="22">
        <v>139</v>
      </c>
      <c r="B166" s="22">
        <v>0.92612941804580884</v>
      </c>
      <c r="C166" s="22">
        <v>-0.92612941804580884</v>
      </c>
      <c r="E166" s="22">
        <v>96.853146853146839</v>
      </c>
      <c r="F166" s="22">
        <v>2</v>
      </c>
    </row>
    <row r="167" spans="1:6" x14ac:dyDescent="0.25">
      <c r="A167" s="22">
        <v>140</v>
      </c>
      <c r="B167" s="22">
        <v>1.3810126857810439</v>
      </c>
      <c r="C167" s="22">
        <v>0.61898731421895614</v>
      </c>
      <c r="E167" s="22">
        <v>97.552447552447546</v>
      </c>
      <c r="F167" s="22">
        <v>2</v>
      </c>
    </row>
    <row r="168" spans="1:6" x14ac:dyDescent="0.25">
      <c r="A168" s="22">
        <v>141</v>
      </c>
      <c r="B168" s="22">
        <v>1.1768570147791351</v>
      </c>
      <c r="C168" s="22">
        <v>0.82314298522086493</v>
      </c>
      <c r="E168" s="22">
        <v>98.251748251748239</v>
      </c>
      <c r="F168" s="22">
        <v>2</v>
      </c>
    </row>
    <row r="169" spans="1:6" x14ac:dyDescent="0.25">
      <c r="A169" s="22">
        <v>142</v>
      </c>
      <c r="B169" s="22">
        <v>0.90478612882021836</v>
      </c>
      <c r="C169" s="22">
        <v>1.0952138711797816</v>
      </c>
      <c r="E169" s="22">
        <v>98.951048951048946</v>
      </c>
      <c r="F169" s="22">
        <v>2</v>
      </c>
    </row>
    <row r="170" spans="1:6" ht="13.8" thickBot="1" x14ac:dyDescent="0.3">
      <c r="A170" s="23">
        <v>143</v>
      </c>
      <c r="B170" s="23">
        <v>0.7548778917181258</v>
      </c>
      <c r="C170" s="23">
        <v>-0.7548778917181258</v>
      </c>
      <c r="E170" s="23">
        <v>99.650349650349639</v>
      </c>
      <c r="F170" s="23">
        <v>2</v>
      </c>
    </row>
  </sheetData>
  <sortState xmlns:xlrd2="http://schemas.microsoft.com/office/spreadsheetml/2017/richdata2" ref="F28:F170">
    <sortCondition ref="F2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288D-7846-42A9-B323-27F7A7EB362E}">
  <dimension ref="A1:C11"/>
  <sheetViews>
    <sheetView workbookViewId="0">
      <selection sqref="A1:C11"/>
    </sheetView>
  </sheetViews>
  <sheetFormatPr defaultRowHeight="13.2" x14ac:dyDescent="0.25"/>
  <cols>
    <col min="1" max="1" width="27.33203125" customWidth="1"/>
    <col min="2" max="2" width="22.33203125" customWidth="1"/>
    <col min="3" max="3" width="18.44140625" customWidth="1"/>
  </cols>
  <sheetData>
    <row r="1" spans="1:3" ht="13.8" thickBot="1" x14ac:dyDescent="0.3">
      <c r="A1" t="s">
        <v>77</v>
      </c>
    </row>
    <row r="2" spans="1:3" x14ac:dyDescent="0.25">
      <c r="A2" s="25"/>
      <c r="B2" s="25" t="s">
        <v>66</v>
      </c>
      <c r="C2" s="25" t="s">
        <v>63</v>
      </c>
    </row>
    <row r="3" spans="1:3" x14ac:dyDescent="0.25">
      <c r="A3" s="22" t="s">
        <v>69</v>
      </c>
      <c r="B3" s="22">
        <v>1.7202797202797202</v>
      </c>
      <c r="C3" s="22">
        <v>2.2517482517482517</v>
      </c>
    </row>
    <row r="4" spans="1:3" x14ac:dyDescent="0.25">
      <c r="A4" s="22" t="s">
        <v>78</v>
      </c>
      <c r="B4" s="22">
        <v>1</v>
      </c>
      <c r="C4" s="22">
        <v>2</v>
      </c>
    </row>
    <row r="5" spans="1:3" x14ac:dyDescent="0.25">
      <c r="A5" s="22" t="s">
        <v>79</v>
      </c>
      <c r="B5" s="22">
        <v>143</v>
      </c>
      <c r="C5" s="22">
        <v>143</v>
      </c>
    </row>
    <row r="6" spans="1:3" x14ac:dyDescent="0.25">
      <c r="A6" s="22" t="s">
        <v>80</v>
      </c>
      <c r="B6" s="22">
        <v>0</v>
      </c>
      <c r="C6" s="22"/>
    </row>
    <row r="7" spans="1:3" x14ac:dyDescent="0.25">
      <c r="A7" s="22" t="s">
        <v>81</v>
      </c>
      <c r="B7" s="22">
        <v>-3.6693145768480333</v>
      </c>
      <c r="C7" s="22"/>
    </row>
    <row r="8" spans="1:3" x14ac:dyDescent="0.25">
      <c r="A8" s="22" t="s">
        <v>82</v>
      </c>
      <c r="B8" s="22">
        <v>1.2160083149692635E-4</v>
      </c>
      <c r="C8" s="22"/>
    </row>
    <row r="9" spans="1:3" x14ac:dyDescent="0.25">
      <c r="A9" s="22" t="s">
        <v>83</v>
      </c>
      <c r="B9" s="22">
        <v>1.6448536269514715</v>
      </c>
      <c r="C9" s="22"/>
    </row>
    <row r="10" spans="1:3" x14ac:dyDescent="0.25">
      <c r="A10" s="22" t="s">
        <v>84</v>
      </c>
      <c r="B10" s="22">
        <v>2.4320166299385271E-4</v>
      </c>
      <c r="C10" s="22"/>
    </row>
    <row r="11" spans="1:3" ht="13.8" thickBot="1" x14ac:dyDescent="0.3">
      <c r="A11" s="23" t="s">
        <v>85</v>
      </c>
      <c r="B11" s="23">
        <v>1.9599639845400536</v>
      </c>
      <c r="C11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042F-B260-4DC5-B8AC-871D0749B9DC}">
  <dimension ref="A1:C11"/>
  <sheetViews>
    <sheetView workbookViewId="0">
      <selection sqref="A1:C11"/>
    </sheetView>
  </sheetViews>
  <sheetFormatPr defaultRowHeight="13.2" x14ac:dyDescent="0.25"/>
  <cols>
    <col min="1" max="1" width="27.21875" customWidth="1"/>
    <col min="2" max="2" width="23.5546875" customWidth="1"/>
    <col min="3" max="3" width="18.33203125" customWidth="1"/>
  </cols>
  <sheetData>
    <row r="1" spans="1:3" ht="13.8" thickBot="1" x14ac:dyDescent="0.3">
      <c r="A1" t="s">
        <v>77</v>
      </c>
    </row>
    <row r="2" spans="1:3" x14ac:dyDescent="0.25">
      <c r="A2" s="25"/>
      <c r="B2" s="25" t="s">
        <v>65</v>
      </c>
      <c r="C2" s="25" t="s">
        <v>67</v>
      </c>
    </row>
    <row r="3" spans="1:3" x14ac:dyDescent="0.25">
      <c r="A3" s="22" t="s">
        <v>69</v>
      </c>
      <c r="B3" s="22">
        <v>1.4685314685314685</v>
      </c>
      <c r="C3" s="22">
        <v>1.5034965034965035</v>
      </c>
    </row>
    <row r="4" spans="1:3" x14ac:dyDescent="0.25">
      <c r="A4" s="22" t="s">
        <v>78</v>
      </c>
      <c r="B4" s="22">
        <v>1</v>
      </c>
      <c r="C4" s="22">
        <v>2</v>
      </c>
    </row>
    <row r="5" spans="1:3" x14ac:dyDescent="0.25">
      <c r="A5" s="22" t="s">
        <v>79</v>
      </c>
      <c r="B5" s="22">
        <v>143</v>
      </c>
      <c r="C5" s="22">
        <v>143</v>
      </c>
    </row>
    <row r="6" spans="1:3" x14ac:dyDescent="0.25">
      <c r="A6" s="22" t="s">
        <v>80</v>
      </c>
      <c r="B6" s="22">
        <v>0</v>
      </c>
      <c r="C6" s="22"/>
    </row>
    <row r="7" spans="1:3" x14ac:dyDescent="0.25">
      <c r="A7" s="22" t="s">
        <v>81</v>
      </c>
      <c r="B7" s="22">
        <v>-0.24140227479263404</v>
      </c>
      <c r="C7" s="22"/>
    </row>
    <row r="8" spans="1:3" x14ac:dyDescent="0.25">
      <c r="A8" s="22" t="s">
        <v>82</v>
      </c>
      <c r="B8" s="22">
        <v>0.40462167492537471</v>
      </c>
      <c r="C8" s="22"/>
    </row>
    <row r="9" spans="1:3" x14ac:dyDescent="0.25">
      <c r="A9" s="22" t="s">
        <v>83</v>
      </c>
      <c r="B9" s="22">
        <v>1.6448536269514715</v>
      </c>
      <c r="C9" s="22"/>
    </row>
    <row r="10" spans="1:3" x14ac:dyDescent="0.25">
      <c r="A10" s="22" t="s">
        <v>84</v>
      </c>
      <c r="B10" s="22">
        <v>0.80924334985074942</v>
      </c>
      <c r="C10" s="22"/>
    </row>
    <row r="11" spans="1:3" ht="13.8" thickBot="1" x14ac:dyDescent="0.3">
      <c r="A11" s="23" t="s">
        <v>85</v>
      </c>
      <c r="B11" s="23">
        <v>1.9599639845400536</v>
      </c>
      <c r="C11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B39C-4A4F-4641-A16D-6F33A4154F6E}">
  <dimension ref="A1:F144"/>
  <sheetViews>
    <sheetView topLeftCell="A132" workbookViewId="0">
      <selection activeCell="C27" sqref="C27"/>
    </sheetView>
  </sheetViews>
  <sheetFormatPr defaultRowHeight="13.2" x14ac:dyDescent="0.25"/>
  <cols>
    <col min="1" max="1" width="24" style="11" customWidth="1"/>
    <col min="2" max="2" width="37.6640625" style="11" customWidth="1"/>
    <col min="3" max="3" width="37.6640625" style="14" customWidth="1"/>
    <col min="4" max="4" width="37.6640625" customWidth="1"/>
    <col min="5" max="5" width="35" style="11" customWidth="1"/>
    <col min="6" max="6" width="69.6640625" style="11" customWidth="1"/>
  </cols>
  <sheetData>
    <row r="1" spans="1:6" x14ac:dyDescent="0.25">
      <c r="A1" s="16" t="s">
        <v>64</v>
      </c>
      <c r="B1" s="16" t="s">
        <v>65</v>
      </c>
      <c r="C1" s="15" t="s">
        <v>66</v>
      </c>
      <c r="D1" s="7" t="s">
        <v>63</v>
      </c>
      <c r="E1" s="16" t="s">
        <v>67</v>
      </c>
      <c r="F1" s="16" t="s">
        <v>68</v>
      </c>
    </row>
    <row r="2" spans="1:6" x14ac:dyDescent="0.25">
      <c r="A2" s="10">
        <v>2</v>
      </c>
      <c r="B2" s="10">
        <v>1</v>
      </c>
      <c r="C2" s="12">
        <v>1</v>
      </c>
      <c r="D2" s="8">
        <v>1</v>
      </c>
      <c r="E2" s="10">
        <v>1</v>
      </c>
      <c r="F2" s="10">
        <v>0</v>
      </c>
    </row>
    <row r="3" spans="1:6" x14ac:dyDescent="0.25">
      <c r="A3" s="10">
        <v>2</v>
      </c>
      <c r="B3" s="10">
        <v>1</v>
      </c>
      <c r="C3" s="12">
        <v>1</v>
      </c>
      <c r="D3" s="8">
        <v>2</v>
      </c>
      <c r="E3" s="10">
        <v>2</v>
      </c>
      <c r="F3" s="10">
        <v>0</v>
      </c>
    </row>
    <row r="4" spans="1:6" x14ac:dyDescent="0.25">
      <c r="A4" s="10">
        <v>2</v>
      </c>
      <c r="B4" s="10">
        <v>1</v>
      </c>
      <c r="C4" s="13">
        <v>2</v>
      </c>
      <c r="D4" s="8">
        <v>2</v>
      </c>
      <c r="E4" s="10">
        <v>1</v>
      </c>
      <c r="F4" s="10">
        <v>1</v>
      </c>
    </row>
    <row r="5" spans="1:6" x14ac:dyDescent="0.25">
      <c r="A5" s="10">
        <v>2</v>
      </c>
      <c r="B5" s="10">
        <v>1</v>
      </c>
      <c r="C5" s="13">
        <v>2</v>
      </c>
      <c r="D5" s="8">
        <v>4</v>
      </c>
      <c r="E5" s="10">
        <v>2</v>
      </c>
      <c r="F5" s="10">
        <v>1</v>
      </c>
    </row>
    <row r="6" spans="1:6" x14ac:dyDescent="0.25">
      <c r="A6" s="10">
        <v>2</v>
      </c>
      <c r="B6" s="10">
        <v>1</v>
      </c>
      <c r="C6" s="13">
        <v>2</v>
      </c>
      <c r="D6" s="8">
        <v>2</v>
      </c>
      <c r="E6" s="10">
        <v>2</v>
      </c>
      <c r="F6" s="10">
        <v>0</v>
      </c>
    </row>
    <row r="7" spans="1:6" x14ac:dyDescent="0.25">
      <c r="A7" s="10">
        <v>2</v>
      </c>
      <c r="B7" s="10">
        <v>1</v>
      </c>
      <c r="C7" s="12">
        <v>1</v>
      </c>
      <c r="D7" s="8">
        <v>3</v>
      </c>
      <c r="E7" s="10">
        <v>2</v>
      </c>
      <c r="F7" s="10">
        <v>2</v>
      </c>
    </row>
    <row r="8" spans="1:6" x14ac:dyDescent="0.25">
      <c r="A8" s="10">
        <v>2</v>
      </c>
      <c r="B8" s="10">
        <v>2</v>
      </c>
      <c r="C8" s="13">
        <v>2</v>
      </c>
      <c r="D8" s="8">
        <v>2</v>
      </c>
      <c r="E8" s="10">
        <v>2</v>
      </c>
      <c r="F8" s="10">
        <v>0</v>
      </c>
    </row>
    <row r="9" spans="1:6" x14ac:dyDescent="0.25">
      <c r="A9" s="10">
        <v>2</v>
      </c>
      <c r="B9" s="10">
        <v>2</v>
      </c>
      <c r="C9" s="12">
        <v>1</v>
      </c>
      <c r="D9" s="8">
        <v>2</v>
      </c>
      <c r="E9" s="10">
        <v>2</v>
      </c>
      <c r="F9" s="10">
        <v>2</v>
      </c>
    </row>
    <row r="10" spans="1:6" x14ac:dyDescent="0.25">
      <c r="A10" s="10">
        <v>2</v>
      </c>
      <c r="B10" s="10">
        <v>2</v>
      </c>
      <c r="C10" s="12">
        <v>1</v>
      </c>
      <c r="D10" s="8">
        <v>2</v>
      </c>
      <c r="E10" s="10">
        <v>1</v>
      </c>
      <c r="F10" s="10">
        <v>0</v>
      </c>
    </row>
    <row r="11" spans="1:6" x14ac:dyDescent="0.25">
      <c r="A11" s="10">
        <v>2</v>
      </c>
      <c r="B11" s="10">
        <v>1</v>
      </c>
      <c r="C11" s="13">
        <v>2</v>
      </c>
      <c r="D11" s="8">
        <v>4</v>
      </c>
      <c r="E11" s="10">
        <v>1</v>
      </c>
      <c r="F11" s="10">
        <v>0</v>
      </c>
    </row>
    <row r="12" spans="1:6" x14ac:dyDescent="0.25">
      <c r="A12" s="10">
        <v>2</v>
      </c>
      <c r="B12" s="10">
        <v>1</v>
      </c>
      <c r="C12" s="12">
        <v>3</v>
      </c>
      <c r="D12" s="8">
        <v>2</v>
      </c>
      <c r="E12" s="10">
        <v>2</v>
      </c>
      <c r="F12" s="10">
        <v>0</v>
      </c>
    </row>
    <row r="13" spans="1:6" x14ac:dyDescent="0.25">
      <c r="A13" s="10">
        <v>2</v>
      </c>
      <c r="B13" s="10">
        <v>2</v>
      </c>
      <c r="C13" s="12">
        <v>1</v>
      </c>
      <c r="D13" s="8">
        <v>2</v>
      </c>
      <c r="E13" s="10">
        <v>2</v>
      </c>
      <c r="F13" s="10">
        <v>1</v>
      </c>
    </row>
    <row r="14" spans="1:6" x14ac:dyDescent="0.25">
      <c r="A14" s="10">
        <v>2</v>
      </c>
      <c r="B14" s="10">
        <v>1</v>
      </c>
      <c r="C14" s="12">
        <v>3</v>
      </c>
      <c r="D14" s="8">
        <v>2</v>
      </c>
      <c r="E14" s="10">
        <v>1</v>
      </c>
      <c r="F14" s="10">
        <v>1</v>
      </c>
    </row>
    <row r="15" spans="1:6" x14ac:dyDescent="0.25">
      <c r="A15" s="10">
        <v>2</v>
      </c>
      <c r="B15" s="10">
        <v>1</v>
      </c>
      <c r="C15" s="13">
        <v>2</v>
      </c>
      <c r="D15" s="8">
        <v>3</v>
      </c>
      <c r="E15" s="10">
        <v>2</v>
      </c>
      <c r="F15" s="10">
        <v>0</v>
      </c>
    </row>
    <row r="16" spans="1:6" x14ac:dyDescent="0.25">
      <c r="A16" s="10">
        <v>2</v>
      </c>
      <c r="B16" s="10">
        <v>1</v>
      </c>
      <c r="C16" s="13">
        <v>2</v>
      </c>
      <c r="D16" s="8">
        <v>2</v>
      </c>
      <c r="E16" s="10">
        <v>2</v>
      </c>
      <c r="F16" s="10">
        <v>2</v>
      </c>
    </row>
    <row r="17" spans="1:6" x14ac:dyDescent="0.25">
      <c r="A17" s="10">
        <v>2</v>
      </c>
      <c r="B17" s="10">
        <v>1</v>
      </c>
      <c r="C17" s="12">
        <v>1</v>
      </c>
      <c r="D17" s="8">
        <v>2</v>
      </c>
      <c r="E17" s="10">
        <v>2</v>
      </c>
      <c r="F17" s="10">
        <v>2</v>
      </c>
    </row>
    <row r="18" spans="1:6" x14ac:dyDescent="0.25">
      <c r="A18" s="10">
        <v>2</v>
      </c>
      <c r="B18" s="10">
        <v>2</v>
      </c>
      <c r="C18" s="12">
        <v>3</v>
      </c>
      <c r="D18" s="8">
        <v>2</v>
      </c>
      <c r="E18" s="10">
        <v>1</v>
      </c>
      <c r="F18" s="10">
        <v>0</v>
      </c>
    </row>
    <row r="19" spans="1:6" x14ac:dyDescent="0.25">
      <c r="A19" s="10">
        <v>2</v>
      </c>
      <c r="B19" s="10">
        <v>1</v>
      </c>
      <c r="C19" s="12">
        <v>1</v>
      </c>
      <c r="D19" s="8">
        <v>2</v>
      </c>
      <c r="E19" s="10">
        <v>1</v>
      </c>
      <c r="F19" s="10">
        <v>2</v>
      </c>
    </row>
    <row r="20" spans="1:6" x14ac:dyDescent="0.25">
      <c r="A20" s="10">
        <v>2</v>
      </c>
      <c r="B20" s="10">
        <v>2</v>
      </c>
      <c r="C20" s="12">
        <v>1</v>
      </c>
      <c r="D20" s="8">
        <v>2</v>
      </c>
      <c r="E20" s="10">
        <v>1</v>
      </c>
      <c r="F20" s="10">
        <v>2</v>
      </c>
    </row>
    <row r="21" spans="1:6" x14ac:dyDescent="0.25">
      <c r="A21" s="10">
        <v>2</v>
      </c>
      <c r="B21" s="10">
        <v>2</v>
      </c>
      <c r="C21" s="12">
        <v>1</v>
      </c>
      <c r="D21" s="8">
        <v>1</v>
      </c>
      <c r="E21" s="10">
        <v>2</v>
      </c>
      <c r="F21" s="10">
        <v>2</v>
      </c>
    </row>
    <row r="22" spans="1:6" x14ac:dyDescent="0.25">
      <c r="A22" s="10">
        <v>2</v>
      </c>
      <c r="B22" s="10">
        <v>1</v>
      </c>
      <c r="C22" s="12">
        <v>1</v>
      </c>
      <c r="D22" s="8">
        <v>3</v>
      </c>
      <c r="E22" s="10">
        <v>2</v>
      </c>
      <c r="F22" s="10">
        <v>1</v>
      </c>
    </row>
    <row r="23" spans="1:6" x14ac:dyDescent="0.25">
      <c r="A23" s="10">
        <v>2</v>
      </c>
      <c r="B23" s="10">
        <v>1</v>
      </c>
      <c r="C23" s="12">
        <v>1</v>
      </c>
      <c r="D23" s="8">
        <v>2</v>
      </c>
      <c r="E23" s="10">
        <v>1</v>
      </c>
      <c r="F23" s="10">
        <v>0</v>
      </c>
    </row>
    <row r="24" spans="1:6" x14ac:dyDescent="0.25">
      <c r="A24" s="10">
        <v>2</v>
      </c>
      <c r="B24" s="10">
        <v>1</v>
      </c>
      <c r="C24" s="12">
        <v>1</v>
      </c>
      <c r="D24" s="8">
        <v>2</v>
      </c>
      <c r="E24" s="10">
        <v>1</v>
      </c>
      <c r="F24" s="10">
        <v>2</v>
      </c>
    </row>
    <row r="25" spans="1:6" x14ac:dyDescent="0.25">
      <c r="A25" s="10">
        <v>3</v>
      </c>
      <c r="B25" s="10">
        <v>1</v>
      </c>
      <c r="C25" s="12">
        <v>1</v>
      </c>
      <c r="D25" s="8">
        <v>4</v>
      </c>
      <c r="E25" s="10">
        <v>1</v>
      </c>
      <c r="F25" s="10">
        <v>2</v>
      </c>
    </row>
    <row r="26" spans="1:6" x14ac:dyDescent="0.25">
      <c r="A26" s="10">
        <v>2</v>
      </c>
      <c r="B26" s="10">
        <v>1</v>
      </c>
      <c r="C26" s="13">
        <v>2</v>
      </c>
      <c r="D26" s="8">
        <v>2</v>
      </c>
      <c r="E26" s="10">
        <v>1</v>
      </c>
      <c r="F26" s="10">
        <v>1</v>
      </c>
    </row>
    <row r="27" spans="1:6" x14ac:dyDescent="0.25">
      <c r="A27" s="10">
        <v>2</v>
      </c>
      <c r="B27" s="10">
        <v>1</v>
      </c>
      <c r="C27" s="13">
        <v>2</v>
      </c>
      <c r="D27" s="8">
        <v>2</v>
      </c>
      <c r="E27" s="10">
        <v>2</v>
      </c>
      <c r="F27" s="10">
        <v>1</v>
      </c>
    </row>
    <row r="28" spans="1:6" x14ac:dyDescent="0.25">
      <c r="A28" s="10">
        <v>2</v>
      </c>
      <c r="B28" s="10">
        <v>1</v>
      </c>
      <c r="C28" s="13">
        <v>2</v>
      </c>
      <c r="D28" s="8">
        <v>2</v>
      </c>
      <c r="E28" s="10">
        <v>2</v>
      </c>
      <c r="F28" s="10">
        <v>2</v>
      </c>
    </row>
    <row r="29" spans="1:6" x14ac:dyDescent="0.25">
      <c r="A29" s="10">
        <v>2</v>
      </c>
      <c r="B29" s="10">
        <v>1</v>
      </c>
      <c r="C29" s="12">
        <v>1</v>
      </c>
      <c r="D29" s="8">
        <v>3</v>
      </c>
      <c r="E29" s="10">
        <v>2</v>
      </c>
      <c r="F29" s="10">
        <v>2</v>
      </c>
    </row>
    <row r="30" spans="1:6" x14ac:dyDescent="0.25">
      <c r="A30" s="10">
        <v>2</v>
      </c>
      <c r="B30" s="10">
        <v>2</v>
      </c>
      <c r="C30" s="12">
        <v>3</v>
      </c>
      <c r="D30" s="8">
        <v>2</v>
      </c>
      <c r="E30" s="10">
        <v>2</v>
      </c>
      <c r="F30" s="10">
        <v>1</v>
      </c>
    </row>
    <row r="31" spans="1:6" x14ac:dyDescent="0.25">
      <c r="A31" s="10">
        <v>1</v>
      </c>
      <c r="B31" s="10">
        <v>1</v>
      </c>
      <c r="C31" s="13">
        <v>2</v>
      </c>
      <c r="D31" s="8">
        <v>1</v>
      </c>
      <c r="E31" s="10">
        <v>1</v>
      </c>
      <c r="F31" s="10">
        <v>1</v>
      </c>
    </row>
    <row r="32" spans="1:6" x14ac:dyDescent="0.25">
      <c r="A32" s="10">
        <v>2</v>
      </c>
      <c r="B32" s="10">
        <v>2</v>
      </c>
      <c r="C32" s="12">
        <v>1</v>
      </c>
      <c r="D32" s="8">
        <v>3</v>
      </c>
      <c r="E32" s="10">
        <v>1</v>
      </c>
      <c r="F32" s="10">
        <v>1</v>
      </c>
    </row>
    <row r="33" spans="1:6" x14ac:dyDescent="0.25">
      <c r="A33" s="10">
        <v>3</v>
      </c>
      <c r="B33" s="10">
        <v>2</v>
      </c>
      <c r="C33" s="12">
        <v>1</v>
      </c>
      <c r="D33" s="8">
        <v>3</v>
      </c>
      <c r="E33" s="10">
        <v>2</v>
      </c>
      <c r="F33" s="10">
        <v>2</v>
      </c>
    </row>
    <row r="34" spans="1:6" x14ac:dyDescent="0.25">
      <c r="A34" s="10">
        <v>3</v>
      </c>
      <c r="B34" s="10">
        <v>2</v>
      </c>
      <c r="C34" s="13">
        <v>2</v>
      </c>
      <c r="D34" s="8">
        <v>2</v>
      </c>
      <c r="E34" s="10">
        <v>1</v>
      </c>
      <c r="F34" s="10">
        <v>0</v>
      </c>
    </row>
    <row r="35" spans="1:6" x14ac:dyDescent="0.25">
      <c r="A35" s="10">
        <v>2</v>
      </c>
      <c r="B35" s="10">
        <v>1</v>
      </c>
      <c r="C35" s="13">
        <v>2</v>
      </c>
      <c r="D35" s="8">
        <v>2</v>
      </c>
      <c r="E35" s="10">
        <v>2</v>
      </c>
      <c r="F35" s="10">
        <v>0</v>
      </c>
    </row>
    <row r="36" spans="1:6" x14ac:dyDescent="0.25">
      <c r="A36" s="10">
        <v>2</v>
      </c>
      <c r="B36" s="10">
        <v>1</v>
      </c>
      <c r="C36" s="13">
        <v>2</v>
      </c>
      <c r="D36" s="8">
        <v>2</v>
      </c>
      <c r="E36" s="10">
        <v>1</v>
      </c>
      <c r="F36" s="10">
        <v>1</v>
      </c>
    </row>
    <row r="37" spans="1:6" x14ac:dyDescent="0.25">
      <c r="A37" s="10">
        <v>2</v>
      </c>
      <c r="B37" s="10">
        <v>2</v>
      </c>
      <c r="C37" s="12">
        <v>1</v>
      </c>
      <c r="D37" s="8">
        <v>2</v>
      </c>
      <c r="E37" s="10">
        <v>1</v>
      </c>
      <c r="F37" s="10">
        <v>0</v>
      </c>
    </row>
    <row r="38" spans="1:6" x14ac:dyDescent="0.25">
      <c r="A38" s="10">
        <v>2</v>
      </c>
      <c r="B38" s="10">
        <v>2</v>
      </c>
      <c r="C38" s="13">
        <v>2</v>
      </c>
      <c r="D38" s="8">
        <v>2</v>
      </c>
      <c r="E38" s="10">
        <v>2</v>
      </c>
      <c r="F38" s="10">
        <v>1</v>
      </c>
    </row>
    <row r="39" spans="1:6" x14ac:dyDescent="0.25">
      <c r="A39" s="10">
        <v>2</v>
      </c>
      <c r="B39" s="10">
        <v>2</v>
      </c>
      <c r="C39" s="12">
        <v>3</v>
      </c>
      <c r="D39" s="8">
        <v>3</v>
      </c>
      <c r="E39" s="10">
        <v>1</v>
      </c>
      <c r="F39" s="10">
        <v>2</v>
      </c>
    </row>
    <row r="40" spans="1:6" x14ac:dyDescent="0.25">
      <c r="A40" s="10">
        <v>2</v>
      </c>
      <c r="B40" s="10">
        <v>2</v>
      </c>
      <c r="C40" s="12">
        <v>3</v>
      </c>
      <c r="D40" s="8">
        <v>2</v>
      </c>
      <c r="E40" s="10">
        <v>2</v>
      </c>
      <c r="F40" s="10">
        <v>0</v>
      </c>
    </row>
    <row r="41" spans="1:6" x14ac:dyDescent="0.25">
      <c r="A41" s="10">
        <v>2</v>
      </c>
      <c r="B41" s="10">
        <v>2</v>
      </c>
      <c r="C41" s="13">
        <v>2</v>
      </c>
      <c r="D41" s="8">
        <v>3</v>
      </c>
      <c r="E41" s="10">
        <v>1</v>
      </c>
      <c r="F41" s="10">
        <v>0</v>
      </c>
    </row>
    <row r="42" spans="1:6" x14ac:dyDescent="0.25">
      <c r="A42" s="10">
        <v>2</v>
      </c>
      <c r="B42" s="10">
        <v>1</v>
      </c>
      <c r="C42" s="13">
        <v>2</v>
      </c>
      <c r="D42" s="8">
        <v>1</v>
      </c>
      <c r="E42" s="10">
        <v>1</v>
      </c>
      <c r="F42" s="10">
        <v>0</v>
      </c>
    </row>
    <row r="43" spans="1:6" x14ac:dyDescent="0.25">
      <c r="A43" s="10">
        <v>2</v>
      </c>
      <c r="B43" s="10">
        <v>2</v>
      </c>
      <c r="C43" s="12">
        <v>3</v>
      </c>
      <c r="D43" s="8">
        <v>2</v>
      </c>
      <c r="E43" s="10">
        <v>1</v>
      </c>
      <c r="F43" s="10">
        <v>0</v>
      </c>
    </row>
    <row r="44" spans="1:6" x14ac:dyDescent="0.25">
      <c r="A44" s="10">
        <v>2</v>
      </c>
      <c r="B44" s="10">
        <v>1</v>
      </c>
      <c r="C44" s="12">
        <v>1</v>
      </c>
      <c r="D44" s="8">
        <v>2</v>
      </c>
      <c r="E44" s="10">
        <v>2</v>
      </c>
      <c r="F44" s="10">
        <v>0</v>
      </c>
    </row>
    <row r="45" spans="1:6" x14ac:dyDescent="0.25">
      <c r="A45" s="10">
        <v>2</v>
      </c>
      <c r="B45" s="10">
        <v>1</v>
      </c>
      <c r="C45" s="13">
        <v>2</v>
      </c>
      <c r="D45" s="8">
        <v>3</v>
      </c>
      <c r="E45" s="10">
        <v>1</v>
      </c>
      <c r="F45" s="10">
        <v>1</v>
      </c>
    </row>
    <row r="46" spans="1:6" x14ac:dyDescent="0.25">
      <c r="A46" s="10">
        <v>2</v>
      </c>
      <c r="B46" s="10">
        <v>2</v>
      </c>
      <c r="C46" s="12">
        <v>1</v>
      </c>
      <c r="D46" s="8">
        <v>2</v>
      </c>
      <c r="E46" s="10">
        <v>1</v>
      </c>
      <c r="F46" s="10">
        <v>1</v>
      </c>
    </row>
    <row r="47" spans="1:6" x14ac:dyDescent="0.25">
      <c r="A47" s="10">
        <v>2</v>
      </c>
      <c r="B47" s="10">
        <v>1</v>
      </c>
      <c r="C47" s="13">
        <v>2</v>
      </c>
      <c r="D47" s="8">
        <v>1</v>
      </c>
      <c r="E47" s="10">
        <v>1</v>
      </c>
      <c r="F47" s="10">
        <v>1</v>
      </c>
    </row>
    <row r="48" spans="1:6" x14ac:dyDescent="0.25">
      <c r="A48" s="10">
        <v>2</v>
      </c>
      <c r="B48" s="10">
        <v>1</v>
      </c>
      <c r="C48" s="12">
        <v>1</v>
      </c>
      <c r="D48" s="8">
        <v>3</v>
      </c>
      <c r="E48" s="10">
        <v>1</v>
      </c>
      <c r="F48" s="10">
        <v>1</v>
      </c>
    </row>
    <row r="49" spans="1:6" x14ac:dyDescent="0.25">
      <c r="A49" s="10">
        <v>2</v>
      </c>
      <c r="B49" s="10">
        <v>2</v>
      </c>
      <c r="C49" s="13">
        <v>2</v>
      </c>
      <c r="D49" s="8">
        <v>3</v>
      </c>
      <c r="E49" s="10">
        <v>1</v>
      </c>
      <c r="F49" s="10">
        <v>1</v>
      </c>
    </row>
    <row r="50" spans="1:6" x14ac:dyDescent="0.25">
      <c r="A50" s="10">
        <v>2</v>
      </c>
      <c r="B50" s="10">
        <v>2</v>
      </c>
      <c r="C50" s="13">
        <v>2</v>
      </c>
      <c r="D50" s="8">
        <v>2</v>
      </c>
      <c r="E50" s="10">
        <v>1</v>
      </c>
      <c r="F50" s="10">
        <v>0</v>
      </c>
    </row>
    <row r="51" spans="1:6" x14ac:dyDescent="0.25">
      <c r="A51" s="10">
        <v>2</v>
      </c>
      <c r="B51" s="10">
        <v>2</v>
      </c>
      <c r="C51" s="12">
        <v>1</v>
      </c>
      <c r="D51" s="8">
        <v>2</v>
      </c>
      <c r="E51" s="10">
        <v>1</v>
      </c>
      <c r="F51" s="10">
        <v>2</v>
      </c>
    </row>
    <row r="52" spans="1:6" x14ac:dyDescent="0.25">
      <c r="A52" s="10">
        <v>2</v>
      </c>
      <c r="B52" s="10">
        <v>1</v>
      </c>
      <c r="C52" s="12">
        <v>1</v>
      </c>
      <c r="D52" s="8">
        <v>3</v>
      </c>
      <c r="E52" s="10">
        <v>2</v>
      </c>
      <c r="F52" s="10">
        <v>1</v>
      </c>
    </row>
    <row r="53" spans="1:6" x14ac:dyDescent="0.25">
      <c r="A53" s="10">
        <v>2</v>
      </c>
      <c r="B53" s="10">
        <v>1</v>
      </c>
      <c r="C53" s="12">
        <v>3</v>
      </c>
      <c r="D53" s="8">
        <v>3</v>
      </c>
      <c r="E53" s="10">
        <v>1</v>
      </c>
      <c r="F53" s="10">
        <v>1</v>
      </c>
    </row>
    <row r="54" spans="1:6" x14ac:dyDescent="0.25">
      <c r="A54" s="10">
        <v>2</v>
      </c>
      <c r="B54" s="10">
        <v>1</v>
      </c>
      <c r="C54" s="13">
        <v>2</v>
      </c>
      <c r="D54" s="8">
        <v>2</v>
      </c>
      <c r="E54" s="10">
        <v>2</v>
      </c>
      <c r="F54" s="10">
        <v>0</v>
      </c>
    </row>
    <row r="55" spans="1:6" x14ac:dyDescent="0.25">
      <c r="A55" s="10">
        <v>2</v>
      </c>
      <c r="B55" s="10">
        <v>1</v>
      </c>
      <c r="C55" s="13">
        <v>2</v>
      </c>
      <c r="D55" s="8">
        <v>2</v>
      </c>
      <c r="E55" s="10">
        <v>2</v>
      </c>
      <c r="F55" s="10">
        <v>1</v>
      </c>
    </row>
    <row r="56" spans="1:6" x14ac:dyDescent="0.25">
      <c r="A56" s="10">
        <v>2</v>
      </c>
      <c r="B56" s="10">
        <v>2</v>
      </c>
      <c r="C56" s="12">
        <v>3</v>
      </c>
      <c r="D56" s="8">
        <v>2</v>
      </c>
      <c r="E56" s="10">
        <v>1</v>
      </c>
      <c r="F56" s="10">
        <v>2</v>
      </c>
    </row>
    <row r="57" spans="1:6" x14ac:dyDescent="0.25">
      <c r="A57" s="10">
        <v>3</v>
      </c>
      <c r="B57" s="10">
        <v>2</v>
      </c>
      <c r="C57" s="12">
        <v>1</v>
      </c>
      <c r="D57" s="8">
        <v>3</v>
      </c>
      <c r="E57" s="10">
        <v>1</v>
      </c>
      <c r="F57" s="10">
        <v>1</v>
      </c>
    </row>
    <row r="58" spans="1:6" x14ac:dyDescent="0.25">
      <c r="A58" s="10">
        <v>2</v>
      </c>
      <c r="B58" s="10">
        <v>1</v>
      </c>
      <c r="C58" s="12">
        <v>1</v>
      </c>
      <c r="D58" s="8">
        <v>2</v>
      </c>
      <c r="E58" s="10">
        <v>1</v>
      </c>
      <c r="F58" s="10">
        <v>0</v>
      </c>
    </row>
    <row r="59" spans="1:6" x14ac:dyDescent="0.25">
      <c r="A59" s="10">
        <v>2</v>
      </c>
      <c r="B59" s="10">
        <v>2</v>
      </c>
      <c r="C59" s="13">
        <v>2</v>
      </c>
      <c r="D59" s="8">
        <v>2</v>
      </c>
      <c r="E59" s="10">
        <v>1</v>
      </c>
      <c r="F59" s="10">
        <v>1</v>
      </c>
    </row>
    <row r="60" spans="1:6" x14ac:dyDescent="0.25">
      <c r="A60" s="10">
        <v>2</v>
      </c>
      <c r="B60" s="10">
        <v>2</v>
      </c>
      <c r="C60" s="12">
        <v>1</v>
      </c>
      <c r="D60" s="8">
        <v>4</v>
      </c>
      <c r="E60" s="10">
        <v>2</v>
      </c>
      <c r="F60" s="10">
        <v>0</v>
      </c>
    </row>
    <row r="61" spans="1:6" x14ac:dyDescent="0.25">
      <c r="A61" s="10">
        <v>2</v>
      </c>
      <c r="B61" s="10">
        <v>2</v>
      </c>
      <c r="C61" s="13">
        <v>2</v>
      </c>
      <c r="D61" s="8">
        <v>2</v>
      </c>
      <c r="E61" s="10">
        <v>1</v>
      </c>
      <c r="F61" s="10">
        <v>0</v>
      </c>
    </row>
    <row r="62" spans="1:6" x14ac:dyDescent="0.25">
      <c r="A62" s="10">
        <v>2</v>
      </c>
      <c r="B62" s="10">
        <v>2</v>
      </c>
      <c r="C62" s="12">
        <v>1</v>
      </c>
      <c r="D62" s="8">
        <v>2</v>
      </c>
      <c r="E62" s="10">
        <v>1</v>
      </c>
      <c r="F62" s="10">
        <v>2</v>
      </c>
    </row>
    <row r="63" spans="1:6" x14ac:dyDescent="0.25">
      <c r="A63" s="10">
        <v>2</v>
      </c>
      <c r="B63" s="10">
        <v>2</v>
      </c>
      <c r="C63" s="13">
        <v>2</v>
      </c>
      <c r="D63" s="8">
        <v>2</v>
      </c>
      <c r="E63" s="10">
        <v>1</v>
      </c>
      <c r="F63" s="10">
        <v>0</v>
      </c>
    </row>
    <row r="64" spans="1:6" x14ac:dyDescent="0.25">
      <c r="A64" s="10">
        <v>2</v>
      </c>
      <c r="B64" s="10">
        <v>1</v>
      </c>
      <c r="C64" s="13">
        <v>2</v>
      </c>
      <c r="D64" s="8">
        <v>2</v>
      </c>
      <c r="E64" s="10">
        <v>2</v>
      </c>
      <c r="F64" s="10">
        <v>2</v>
      </c>
    </row>
    <row r="65" spans="1:6" x14ac:dyDescent="0.25">
      <c r="A65" s="10">
        <v>2</v>
      </c>
      <c r="B65" s="10">
        <v>2</v>
      </c>
      <c r="C65" s="12">
        <v>1</v>
      </c>
      <c r="D65" s="8">
        <v>1</v>
      </c>
      <c r="E65" s="10">
        <v>1</v>
      </c>
      <c r="F65" s="10">
        <v>0</v>
      </c>
    </row>
    <row r="66" spans="1:6" x14ac:dyDescent="0.25">
      <c r="A66" s="10">
        <v>1</v>
      </c>
      <c r="B66" s="10">
        <v>2</v>
      </c>
      <c r="C66" s="12">
        <v>3</v>
      </c>
      <c r="D66" s="8">
        <v>4</v>
      </c>
      <c r="E66" s="10">
        <v>2</v>
      </c>
      <c r="F66" s="10">
        <v>2</v>
      </c>
    </row>
    <row r="67" spans="1:6" x14ac:dyDescent="0.25">
      <c r="A67" s="10">
        <v>2</v>
      </c>
      <c r="B67" s="10">
        <v>2</v>
      </c>
      <c r="C67" s="13">
        <v>2</v>
      </c>
      <c r="D67" s="8">
        <v>1</v>
      </c>
      <c r="E67" s="10">
        <v>1</v>
      </c>
      <c r="F67" s="10">
        <v>0</v>
      </c>
    </row>
    <row r="68" spans="1:6" x14ac:dyDescent="0.25">
      <c r="A68" s="10">
        <v>3</v>
      </c>
      <c r="B68" s="10">
        <v>2</v>
      </c>
      <c r="C68" s="13">
        <v>2</v>
      </c>
      <c r="D68" s="8">
        <v>3</v>
      </c>
      <c r="E68" s="10">
        <v>2</v>
      </c>
      <c r="F68" s="10">
        <v>0</v>
      </c>
    </row>
    <row r="69" spans="1:6" x14ac:dyDescent="0.25">
      <c r="A69" s="10">
        <v>2</v>
      </c>
      <c r="B69" s="10">
        <v>1</v>
      </c>
      <c r="C69" s="12">
        <v>1</v>
      </c>
      <c r="D69" s="8">
        <v>2</v>
      </c>
      <c r="E69" s="10">
        <v>1</v>
      </c>
      <c r="F69" s="10">
        <v>0</v>
      </c>
    </row>
    <row r="70" spans="1:6" x14ac:dyDescent="0.25">
      <c r="A70" s="10">
        <v>2</v>
      </c>
      <c r="B70" s="10">
        <v>2</v>
      </c>
      <c r="C70" s="13">
        <v>2</v>
      </c>
      <c r="D70" s="8">
        <v>4</v>
      </c>
      <c r="E70" s="10">
        <v>2</v>
      </c>
      <c r="F70" s="10">
        <v>0</v>
      </c>
    </row>
    <row r="71" spans="1:6" x14ac:dyDescent="0.25">
      <c r="A71" s="10">
        <v>2</v>
      </c>
      <c r="B71" s="10">
        <v>2</v>
      </c>
      <c r="C71" s="12">
        <v>1</v>
      </c>
      <c r="D71" s="8">
        <v>4</v>
      </c>
      <c r="E71" s="10">
        <v>2</v>
      </c>
      <c r="F71" s="10">
        <v>1</v>
      </c>
    </row>
    <row r="72" spans="1:6" x14ac:dyDescent="0.25">
      <c r="A72" s="10">
        <v>2</v>
      </c>
      <c r="B72" s="10">
        <v>1</v>
      </c>
      <c r="C72" s="12">
        <v>1</v>
      </c>
      <c r="D72" s="8">
        <v>3</v>
      </c>
      <c r="E72" s="10">
        <v>2</v>
      </c>
      <c r="F72" s="10">
        <v>0</v>
      </c>
    </row>
    <row r="73" spans="1:6" x14ac:dyDescent="0.25">
      <c r="A73" s="10">
        <v>2</v>
      </c>
      <c r="B73" s="10">
        <v>2</v>
      </c>
      <c r="C73" s="13">
        <v>2</v>
      </c>
      <c r="D73" s="8">
        <v>1</v>
      </c>
      <c r="E73" s="10">
        <v>2</v>
      </c>
      <c r="F73" s="10">
        <v>1</v>
      </c>
    </row>
    <row r="74" spans="1:6" x14ac:dyDescent="0.25">
      <c r="A74" s="10">
        <v>2</v>
      </c>
      <c r="B74" s="10">
        <v>2</v>
      </c>
      <c r="C74" s="13">
        <v>2</v>
      </c>
      <c r="D74" s="8">
        <v>2</v>
      </c>
      <c r="E74" s="10">
        <v>2</v>
      </c>
      <c r="F74" s="10">
        <v>1</v>
      </c>
    </row>
    <row r="75" spans="1:6" x14ac:dyDescent="0.25">
      <c r="A75" s="10">
        <v>2</v>
      </c>
      <c r="B75" s="10">
        <v>2</v>
      </c>
      <c r="C75" s="13">
        <v>2</v>
      </c>
      <c r="D75" s="8">
        <v>2</v>
      </c>
      <c r="E75" s="10">
        <v>1</v>
      </c>
      <c r="F75" s="10">
        <v>1</v>
      </c>
    </row>
    <row r="76" spans="1:6" x14ac:dyDescent="0.25">
      <c r="A76" s="10">
        <v>2</v>
      </c>
      <c r="B76" s="10">
        <v>2</v>
      </c>
      <c r="C76" s="12">
        <v>1</v>
      </c>
      <c r="D76" s="8">
        <v>1</v>
      </c>
      <c r="E76" s="10">
        <v>1</v>
      </c>
      <c r="F76" s="10">
        <v>0</v>
      </c>
    </row>
    <row r="77" spans="1:6" x14ac:dyDescent="0.25">
      <c r="A77" s="10">
        <v>2</v>
      </c>
      <c r="B77" s="10">
        <v>1</v>
      </c>
      <c r="C77" s="13">
        <v>2</v>
      </c>
      <c r="D77" s="8">
        <v>2</v>
      </c>
      <c r="E77" s="10">
        <v>1</v>
      </c>
      <c r="F77" s="10">
        <v>1</v>
      </c>
    </row>
    <row r="78" spans="1:6" x14ac:dyDescent="0.25">
      <c r="A78" s="10">
        <v>2</v>
      </c>
      <c r="B78" s="10">
        <v>2</v>
      </c>
      <c r="C78" s="12">
        <v>3</v>
      </c>
      <c r="D78" s="8">
        <v>2</v>
      </c>
      <c r="E78" s="10">
        <v>1</v>
      </c>
      <c r="F78" s="10">
        <v>2</v>
      </c>
    </row>
    <row r="79" spans="1:6" x14ac:dyDescent="0.25">
      <c r="A79" s="10">
        <v>2</v>
      </c>
      <c r="B79" s="10">
        <v>2</v>
      </c>
      <c r="C79" s="13">
        <v>2</v>
      </c>
      <c r="D79" s="8">
        <v>2</v>
      </c>
      <c r="E79" s="10">
        <v>2</v>
      </c>
      <c r="F79" s="10">
        <v>2</v>
      </c>
    </row>
    <row r="80" spans="1:6" x14ac:dyDescent="0.25">
      <c r="A80" s="10">
        <v>2</v>
      </c>
      <c r="B80" s="10">
        <v>1</v>
      </c>
      <c r="C80" s="12">
        <v>1</v>
      </c>
      <c r="D80" s="8">
        <v>1</v>
      </c>
      <c r="E80" s="10">
        <v>2</v>
      </c>
      <c r="F80" s="10">
        <v>2</v>
      </c>
    </row>
    <row r="81" spans="1:6" x14ac:dyDescent="0.25">
      <c r="A81" s="10">
        <v>2</v>
      </c>
      <c r="B81" s="10">
        <v>2</v>
      </c>
      <c r="C81" s="12">
        <v>1</v>
      </c>
      <c r="D81" s="8">
        <v>1</v>
      </c>
      <c r="E81" s="10">
        <v>2</v>
      </c>
      <c r="F81" s="10">
        <v>1</v>
      </c>
    </row>
    <row r="82" spans="1:6" x14ac:dyDescent="0.25">
      <c r="A82" s="10">
        <v>2</v>
      </c>
      <c r="B82" s="10">
        <v>2</v>
      </c>
      <c r="C82" s="13">
        <v>2</v>
      </c>
      <c r="D82" s="8">
        <v>3</v>
      </c>
      <c r="E82" s="10">
        <v>2</v>
      </c>
      <c r="F82" s="10">
        <v>1</v>
      </c>
    </row>
    <row r="83" spans="1:6" x14ac:dyDescent="0.25">
      <c r="A83" s="10">
        <v>1</v>
      </c>
      <c r="B83" s="10">
        <v>2</v>
      </c>
      <c r="C83" s="13">
        <v>2</v>
      </c>
      <c r="D83" s="8">
        <v>4</v>
      </c>
      <c r="E83" s="10">
        <v>1</v>
      </c>
      <c r="F83" s="10">
        <v>1</v>
      </c>
    </row>
    <row r="84" spans="1:6" x14ac:dyDescent="0.25">
      <c r="A84" s="10">
        <v>2</v>
      </c>
      <c r="B84" s="10">
        <v>1</v>
      </c>
      <c r="C84" s="13">
        <v>2</v>
      </c>
      <c r="D84" s="8">
        <v>4</v>
      </c>
      <c r="E84" s="10">
        <v>2</v>
      </c>
      <c r="F84" s="10">
        <v>1</v>
      </c>
    </row>
    <row r="85" spans="1:6" x14ac:dyDescent="0.25">
      <c r="A85" s="10">
        <v>2</v>
      </c>
      <c r="B85" s="10">
        <v>2</v>
      </c>
      <c r="C85" s="12">
        <v>1</v>
      </c>
      <c r="D85" s="8">
        <v>4</v>
      </c>
      <c r="E85" s="10">
        <v>1</v>
      </c>
      <c r="F85" s="10">
        <v>0</v>
      </c>
    </row>
    <row r="86" spans="1:6" x14ac:dyDescent="0.25">
      <c r="A86" s="10">
        <v>2</v>
      </c>
      <c r="B86" s="10">
        <v>1</v>
      </c>
      <c r="C86" s="12">
        <v>1</v>
      </c>
      <c r="D86" s="8">
        <v>1</v>
      </c>
      <c r="E86" s="10">
        <v>2</v>
      </c>
      <c r="F86" s="10">
        <v>1</v>
      </c>
    </row>
    <row r="87" spans="1:6" x14ac:dyDescent="0.25">
      <c r="A87" s="10">
        <v>2</v>
      </c>
      <c r="B87" s="10">
        <v>2</v>
      </c>
      <c r="C87" s="13">
        <v>2</v>
      </c>
      <c r="D87" s="8">
        <v>2</v>
      </c>
      <c r="E87" s="10">
        <v>1</v>
      </c>
      <c r="F87" s="10">
        <v>0</v>
      </c>
    </row>
    <row r="88" spans="1:6" x14ac:dyDescent="0.25">
      <c r="A88" s="10">
        <v>2</v>
      </c>
      <c r="B88" s="10">
        <v>2</v>
      </c>
      <c r="C88" s="12">
        <v>1</v>
      </c>
      <c r="D88" s="8">
        <v>2</v>
      </c>
      <c r="E88" s="10">
        <v>2</v>
      </c>
      <c r="F88" s="10">
        <v>2</v>
      </c>
    </row>
    <row r="89" spans="1:6" x14ac:dyDescent="0.25">
      <c r="A89" s="10">
        <v>3</v>
      </c>
      <c r="B89" s="10">
        <v>1</v>
      </c>
      <c r="C89" s="12">
        <v>1</v>
      </c>
      <c r="D89" s="8">
        <v>3</v>
      </c>
      <c r="E89" s="10">
        <v>1</v>
      </c>
      <c r="F89" s="10">
        <v>1</v>
      </c>
    </row>
    <row r="90" spans="1:6" x14ac:dyDescent="0.25">
      <c r="A90" s="10">
        <v>2</v>
      </c>
      <c r="B90" s="10">
        <v>1</v>
      </c>
      <c r="C90" s="12">
        <v>3</v>
      </c>
      <c r="D90" s="8">
        <v>2</v>
      </c>
      <c r="E90" s="10">
        <v>1</v>
      </c>
      <c r="F90" s="10">
        <v>0</v>
      </c>
    </row>
    <row r="91" spans="1:6" x14ac:dyDescent="0.25">
      <c r="A91" s="10">
        <v>2</v>
      </c>
      <c r="B91" s="10">
        <v>1</v>
      </c>
      <c r="C91" s="13">
        <v>2</v>
      </c>
      <c r="D91" s="8">
        <v>2</v>
      </c>
      <c r="E91" s="10">
        <v>2</v>
      </c>
      <c r="F91" s="10">
        <v>1</v>
      </c>
    </row>
    <row r="92" spans="1:6" x14ac:dyDescent="0.25">
      <c r="A92" s="10">
        <v>2</v>
      </c>
      <c r="B92" s="10">
        <v>1</v>
      </c>
      <c r="C92" s="12">
        <v>1</v>
      </c>
      <c r="D92" s="8">
        <v>2</v>
      </c>
      <c r="E92" s="10">
        <v>2</v>
      </c>
      <c r="F92" s="10">
        <v>2</v>
      </c>
    </row>
    <row r="93" spans="1:6" x14ac:dyDescent="0.25">
      <c r="A93" s="10">
        <v>2</v>
      </c>
      <c r="B93" s="10">
        <v>2</v>
      </c>
      <c r="C93" s="13">
        <v>2</v>
      </c>
      <c r="D93" s="8">
        <v>2</v>
      </c>
      <c r="E93" s="10">
        <v>2</v>
      </c>
      <c r="F93" s="10">
        <v>1</v>
      </c>
    </row>
    <row r="94" spans="1:6" x14ac:dyDescent="0.25">
      <c r="A94" s="10">
        <v>2</v>
      </c>
      <c r="B94" s="10">
        <v>2</v>
      </c>
      <c r="C94" s="12">
        <v>3</v>
      </c>
      <c r="D94" s="8">
        <v>2</v>
      </c>
      <c r="E94" s="10">
        <v>1</v>
      </c>
      <c r="F94" s="10">
        <v>0</v>
      </c>
    </row>
    <row r="95" spans="1:6" x14ac:dyDescent="0.25">
      <c r="A95" s="10">
        <v>2</v>
      </c>
      <c r="B95" s="10">
        <v>1</v>
      </c>
      <c r="C95" s="12">
        <v>1</v>
      </c>
      <c r="D95" s="8">
        <v>2</v>
      </c>
      <c r="E95" s="10">
        <v>1</v>
      </c>
      <c r="F95" s="10">
        <v>1</v>
      </c>
    </row>
    <row r="96" spans="1:6" x14ac:dyDescent="0.25">
      <c r="A96" s="10">
        <v>2</v>
      </c>
      <c r="B96" s="10">
        <v>1</v>
      </c>
      <c r="C96" s="12">
        <v>1</v>
      </c>
      <c r="D96" s="8">
        <v>2</v>
      </c>
      <c r="E96" s="10">
        <v>1</v>
      </c>
      <c r="F96" s="10">
        <v>2</v>
      </c>
    </row>
    <row r="97" spans="1:6" x14ac:dyDescent="0.25">
      <c r="A97" s="10">
        <v>2</v>
      </c>
      <c r="B97" s="10">
        <v>2</v>
      </c>
      <c r="C97" s="13">
        <v>2</v>
      </c>
      <c r="D97" s="8">
        <v>1</v>
      </c>
      <c r="E97" s="10">
        <v>1</v>
      </c>
      <c r="F97" s="10">
        <v>2</v>
      </c>
    </row>
    <row r="98" spans="1:6" x14ac:dyDescent="0.25">
      <c r="A98" s="10">
        <v>2</v>
      </c>
      <c r="B98" s="10">
        <v>1</v>
      </c>
      <c r="C98" s="13">
        <v>2</v>
      </c>
      <c r="D98" s="8">
        <v>1</v>
      </c>
      <c r="E98" s="10">
        <v>2</v>
      </c>
      <c r="F98" s="10">
        <v>2</v>
      </c>
    </row>
    <row r="99" spans="1:6" x14ac:dyDescent="0.25">
      <c r="A99" s="10">
        <v>3</v>
      </c>
      <c r="B99" s="10">
        <v>1</v>
      </c>
      <c r="C99" s="12">
        <v>3</v>
      </c>
      <c r="D99" s="8">
        <v>3</v>
      </c>
      <c r="E99" s="10">
        <v>2</v>
      </c>
      <c r="F99" s="10">
        <v>0</v>
      </c>
    </row>
    <row r="100" spans="1:6" x14ac:dyDescent="0.25">
      <c r="A100" s="10">
        <v>2</v>
      </c>
      <c r="B100" s="10">
        <v>1</v>
      </c>
      <c r="C100" s="13">
        <v>2</v>
      </c>
      <c r="D100" s="8">
        <v>1</v>
      </c>
      <c r="E100" s="10">
        <v>1</v>
      </c>
      <c r="F100" s="10">
        <v>1</v>
      </c>
    </row>
    <row r="101" spans="1:6" x14ac:dyDescent="0.25">
      <c r="A101" s="10">
        <v>2</v>
      </c>
      <c r="B101" s="10">
        <v>1</v>
      </c>
      <c r="C101" s="12">
        <v>1</v>
      </c>
      <c r="D101" s="8">
        <v>2</v>
      </c>
      <c r="E101" s="10">
        <v>2</v>
      </c>
      <c r="F101" s="10">
        <v>1</v>
      </c>
    </row>
    <row r="102" spans="1:6" x14ac:dyDescent="0.25">
      <c r="A102" s="10">
        <v>2</v>
      </c>
      <c r="B102" s="10">
        <v>2</v>
      </c>
      <c r="C102" s="13">
        <v>2</v>
      </c>
      <c r="D102" s="8">
        <v>1</v>
      </c>
      <c r="E102" s="10">
        <v>2</v>
      </c>
      <c r="F102" s="10">
        <v>0</v>
      </c>
    </row>
    <row r="103" spans="1:6" x14ac:dyDescent="0.25">
      <c r="A103" s="10">
        <v>2</v>
      </c>
      <c r="B103" s="10">
        <v>1</v>
      </c>
      <c r="C103" s="12">
        <v>3</v>
      </c>
      <c r="D103" s="8">
        <v>1</v>
      </c>
      <c r="E103" s="10">
        <v>1</v>
      </c>
      <c r="F103" s="10">
        <v>1</v>
      </c>
    </row>
    <row r="104" spans="1:6" x14ac:dyDescent="0.25">
      <c r="A104" s="10">
        <v>2</v>
      </c>
      <c r="B104" s="10">
        <v>1</v>
      </c>
      <c r="C104" s="13">
        <v>2</v>
      </c>
      <c r="D104" s="8">
        <v>2</v>
      </c>
      <c r="E104" s="10">
        <v>1</v>
      </c>
      <c r="F104" s="10">
        <v>2</v>
      </c>
    </row>
    <row r="105" spans="1:6" x14ac:dyDescent="0.25">
      <c r="A105" s="10">
        <v>2</v>
      </c>
      <c r="B105" s="10">
        <v>2</v>
      </c>
      <c r="C105" s="13">
        <v>2</v>
      </c>
      <c r="D105" s="8">
        <v>4</v>
      </c>
      <c r="E105" s="10">
        <v>2</v>
      </c>
      <c r="F105" s="10">
        <v>2</v>
      </c>
    </row>
    <row r="106" spans="1:6" x14ac:dyDescent="0.25">
      <c r="A106" s="10">
        <v>2</v>
      </c>
      <c r="B106" s="10">
        <v>2</v>
      </c>
      <c r="C106" s="13">
        <v>2</v>
      </c>
      <c r="D106" s="8">
        <v>2</v>
      </c>
      <c r="E106" s="10">
        <v>2</v>
      </c>
      <c r="F106" s="10">
        <v>0</v>
      </c>
    </row>
    <row r="107" spans="1:6" x14ac:dyDescent="0.25">
      <c r="A107" s="10">
        <v>2</v>
      </c>
      <c r="B107" s="10">
        <v>1</v>
      </c>
      <c r="C107" s="12">
        <v>1</v>
      </c>
      <c r="D107" s="8">
        <v>2</v>
      </c>
      <c r="E107" s="10">
        <v>2</v>
      </c>
      <c r="F107" s="10">
        <v>1</v>
      </c>
    </row>
    <row r="108" spans="1:6" x14ac:dyDescent="0.25">
      <c r="A108" s="10">
        <v>2</v>
      </c>
      <c r="B108" s="10">
        <v>1</v>
      </c>
      <c r="C108" s="13">
        <v>2</v>
      </c>
      <c r="D108" s="8">
        <v>2</v>
      </c>
      <c r="E108" s="10">
        <v>2</v>
      </c>
      <c r="F108" s="10">
        <v>2</v>
      </c>
    </row>
    <row r="109" spans="1:6" x14ac:dyDescent="0.25">
      <c r="A109" s="10">
        <v>2</v>
      </c>
      <c r="B109" s="10">
        <v>2</v>
      </c>
      <c r="C109" s="12">
        <v>1</v>
      </c>
      <c r="D109" s="8">
        <v>3</v>
      </c>
      <c r="E109" s="10">
        <v>2</v>
      </c>
      <c r="F109" s="10">
        <v>2</v>
      </c>
    </row>
    <row r="110" spans="1:6" x14ac:dyDescent="0.25">
      <c r="A110" s="10">
        <v>3</v>
      </c>
      <c r="B110" s="10">
        <v>2</v>
      </c>
      <c r="C110" s="13">
        <v>2</v>
      </c>
      <c r="D110" s="8">
        <v>2</v>
      </c>
      <c r="E110" s="10">
        <v>2</v>
      </c>
      <c r="F110" s="10">
        <v>1</v>
      </c>
    </row>
    <row r="111" spans="1:6" x14ac:dyDescent="0.25">
      <c r="A111" s="10">
        <v>2</v>
      </c>
      <c r="B111" s="10">
        <v>2</v>
      </c>
      <c r="C111" s="13">
        <v>2</v>
      </c>
      <c r="D111" s="8">
        <v>2</v>
      </c>
      <c r="E111" s="10">
        <v>1</v>
      </c>
      <c r="F111" s="10">
        <v>2</v>
      </c>
    </row>
    <row r="112" spans="1:6" x14ac:dyDescent="0.25">
      <c r="A112" s="10">
        <v>2</v>
      </c>
      <c r="B112" s="10">
        <v>2</v>
      </c>
      <c r="C112" s="12">
        <v>1</v>
      </c>
      <c r="D112" s="8">
        <v>2</v>
      </c>
      <c r="E112" s="10">
        <v>2</v>
      </c>
      <c r="F112" s="10">
        <v>0</v>
      </c>
    </row>
    <row r="113" spans="1:6" x14ac:dyDescent="0.25">
      <c r="A113" s="10">
        <v>2</v>
      </c>
      <c r="B113" s="10">
        <v>1</v>
      </c>
      <c r="C113" s="13">
        <v>2</v>
      </c>
      <c r="D113" s="8">
        <v>3</v>
      </c>
      <c r="E113" s="10">
        <v>2</v>
      </c>
      <c r="F113" s="10">
        <v>2</v>
      </c>
    </row>
    <row r="114" spans="1:6" x14ac:dyDescent="0.25">
      <c r="A114" s="10">
        <v>2</v>
      </c>
      <c r="B114" s="10">
        <v>2</v>
      </c>
      <c r="C114" s="12">
        <v>1</v>
      </c>
      <c r="D114" s="8">
        <v>2</v>
      </c>
      <c r="E114" s="10">
        <v>2</v>
      </c>
      <c r="F114" s="10">
        <v>0</v>
      </c>
    </row>
    <row r="115" spans="1:6" x14ac:dyDescent="0.25">
      <c r="A115" s="10">
        <v>2</v>
      </c>
      <c r="B115" s="10">
        <v>1</v>
      </c>
      <c r="C115" s="12">
        <v>1</v>
      </c>
      <c r="D115" s="8">
        <v>3</v>
      </c>
      <c r="E115" s="10">
        <v>2</v>
      </c>
      <c r="F115" s="10">
        <v>2</v>
      </c>
    </row>
    <row r="116" spans="1:6" x14ac:dyDescent="0.25">
      <c r="A116" s="10">
        <v>2</v>
      </c>
      <c r="B116" s="10">
        <v>1</v>
      </c>
      <c r="C116" s="12">
        <v>1</v>
      </c>
      <c r="D116" s="8">
        <v>2</v>
      </c>
      <c r="E116" s="10">
        <v>2</v>
      </c>
      <c r="F116" s="10">
        <v>1</v>
      </c>
    </row>
    <row r="117" spans="1:6" x14ac:dyDescent="0.25">
      <c r="A117" s="10">
        <v>2</v>
      </c>
      <c r="B117" s="10">
        <v>2</v>
      </c>
      <c r="C117" s="13">
        <v>2</v>
      </c>
      <c r="D117" s="8">
        <v>4</v>
      </c>
      <c r="E117" s="10">
        <v>2</v>
      </c>
      <c r="F117" s="10">
        <v>0</v>
      </c>
    </row>
    <row r="118" spans="1:6" x14ac:dyDescent="0.25">
      <c r="A118" s="10">
        <v>2</v>
      </c>
      <c r="B118" s="10">
        <v>1</v>
      </c>
      <c r="C118" s="13">
        <v>2</v>
      </c>
      <c r="D118" s="8">
        <v>2</v>
      </c>
      <c r="E118" s="10">
        <v>2</v>
      </c>
      <c r="F118" s="10">
        <v>0</v>
      </c>
    </row>
    <row r="119" spans="1:6" x14ac:dyDescent="0.25">
      <c r="A119" s="10">
        <v>2</v>
      </c>
      <c r="B119" s="10">
        <v>2</v>
      </c>
      <c r="C119" s="13">
        <v>2</v>
      </c>
      <c r="D119" s="8">
        <v>3</v>
      </c>
      <c r="E119" s="10">
        <v>1</v>
      </c>
      <c r="F119" s="10">
        <v>0</v>
      </c>
    </row>
    <row r="120" spans="1:6" x14ac:dyDescent="0.25">
      <c r="A120" s="10">
        <v>2</v>
      </c>
      <c r="B120" s="10">
        <v>1</v>
      </c>
      <c r="C120" s="12">
        <v>1</v>
      </c>
      <c r="D120" s="8">
        <v>3</v>
      </c>
      <c r="E120" s="10">
        <v>1</v>
      </c>
      <c r="F120" s="10">
        <v>2</v>
      </c>
    </row>
    <row r="121" spans="1:6" x14ac:dyDescent="0.25">
      <c r="A121" s="10">
        <v>2</v>
      </c>
      <c r="B121" s="10">
        <v>1</v>
      </c>
      <c r="C121" s="12">
        <v>3</v>
      </c>
      <c r="D121" s="8">
        <v>2</v>
      </c>
      <c r="E121" s="10">
        <v>2</v>
      </c>
      <c r="F121" s="10">
        <v>0</v>
      </c>
    </row>
    <row r="122" spans="1:6" x14ac:dyDescent="0.25">
      <c r="A122" s="10">
        <v>2</v>
      </c>
      <c r="B122" s="10">
        <v>1</v>
      </c>
      <c r="C122" s="12">
        <v>1</v>
      </c>
      <c r="D122" s="8">
        <v>2</v>
      </c>
      <c r="E122" s="10">
        <v>1</v>
      </c>
      <c r="F122" s="10">
        <v>1</v>
      </c>
    </row>
    <row r="123" spans="1:6" x14ac:dyDescent="0.25">
      <c r="A123" s="10">
        <v>2</v>
      </c>
      <c r="B123" s="10">
        <v>2</v>
      </c>
      <c r="C123" s="13">
        <v>2</v>
      </c>
      <c r="D123" s="8">
        <v>1</v>
      </c>
      <c r="E123" s="10">
        <v>2</v>
      </c>
      <c r="F123" s="10">
        <v>1</v>
      </c>
    </row>
    <row r="124" spans="1:6" x14ac:dyDescent="0.25">
      <c r="A124" s="10">
        <v>2</v>
      </c>
      <c r="B124" s="10">
        <v>2</v>
      </c>
      <c r="C124" s="13">
        <v>2</v>
      </c>
      <c r="D124" s="8">
        <v>3</v>
      </c>
      <c r="E124" s="10">
        <v>1</v>
      </c>
      <c r="F124" s="10">
        <v>0</v>
      </c>
    </row>
    <row r="125" spans="1:6" x14ac:dyDescent="0.25">
      <c r="A125" s="10">
        <v>2</v>
      </c>
      <c r="B125" s="10">
        <v>2</v>
      </c>
      <c r="C125" s="13">
        <v>2</v>
      </c>
      <c r="D125" s="8">
        <v>2</v>
      </c>
      <c r="E125" s="10">
        <v>2</v>
      </c>
      <c r="F125" s="10">
        <v>2</v>
      </c>
    </row>
    <row r="126" spans="1:6" x14ac:dyDescent="0.25">
      <c r="A126" s="10">
        <v>2</v>
      </c>
      <c r="B126" s="10">
        <v>1</v>
      </c>
      <c r="C126" s="12">
        <v>1</v>
      </c>
      <c r="D126" s="8">
        <v>2</v>
      </c>
      <c r="E126" s="10">
        <v>1</v>
      </c>
      <c r="F126" s="10">
        <v>0</v>
      </c>
    </row>
    <row r="127" spans="1:6" x14ac:dyDescent="0.25">
      <c r="A127" s="10">
        <v>2</v>
      </c>
      <c r="B127" s="10">
        <v>1</v>
      </c>
      <c r="C127" s="12">
        <v>3</v>
      </c>
      <c r="D127" s="8">
        <v>1</v>
      </c>
      <c r="E127" s="10">
        <v>1</v>
      </c>
      <c r="F127" s="10">
        <v>2</v>
      </c>
    </row>
    <row r="128" spans="1:6" x14ac:dyDescent="0.25">
      <c r="A128" s="10">
        <v>2</v>
      </c>
      <c r="B128" s="10">
        <v>1</v>
      </c>
      <c r="C128" s="12">
        <v>1</v>
      </c>
      <c r="D128" s="8">
        <v>2</v>
      </c>
      <c r="E128" s="10">
        <v>1</v>
      </c>
      <c r="F128" s="10">
        <v>0</v>
      </c>
    </row>
    <row r="129" spans="1:6" x14ac:dyDescent="0.25">
      <c r="A129" s="10">
        <v>2</v>
      </c>
      <c r="B129" s="10">
        <v>1</v>
      </c>
      <c r="C129" s="12">
        <v>1</v>
      </c>
      <c r="D129" s="8">
        <v>2</v>
      </c>
      <c r="E129" s="10">
        <v>2</v>
      </c>
      <c r="F129" s="10">
        <v>1</v>
      </c>
    </row>
    <row r="130" spans="1:6" x14ac:dyDescent="0.25">
      <c r="A130" s="10">
        <v>2</v>
      </c>
      <c r="B130" s="10">
        <v>1</v>
      </c>
      <c r="C130" s="13">
        <v>2</v>
      </c>
      <c r="D130" s="8">
        <v>4</v>
      </c>
      <c r="E130" s="10">
        <v>2</v>
      </c>
      <c r="F130" s="10">
        <v>2</v>
      </c>
    </row>
    <row r="131" spans="1:6" x14ac:dyDescent="0.25">
      <c r="A131" s="10">
        <v>3</v>
      </c>
      <c r="B131" s="10">
        <v>2</v>
      </c>
      <c r="C131" s="12">
        <v>1</v>
      </c>
      <c r="D131" s="8">
        <v>2</v>
      </c>
      <c r="E131" s="10">
        <v>2</v>
      </c>
      <c r="F131" s="10">
        <v>1</v>
      </c>
    </row>
    <row r="132" spans="1:6" x14ac:dyDescent="0.25">
      <c r="A132" s="10">
        <v>2</v>
      </c>
      <c r="B132" s="10">
        <v>2</v>
      </c>
      <c r="C132" s="12">
        <v>3</v>
      </c>
      <c r="D132" s="8">
        <v>1</v>
      </c>
      <c r="E132" s="10">
        <v>1</v>
      </c>
      <c r="F132" s="10">
        <v>2</v>
      </c>
    </row>
    <row r="133" spans="1:6" x14ac:dyDescent="0.25">
      <c r="A133" s="10">
        <v>2</v>
      </c>
      <c r="B133" s="10">
        <v>1</v>
      </c>
      <c r="C133" s="13">
        <v>2</v>
      </c>
      <c r="D133" s="8">
        <v>2</v>
      </c>
      <c r="E133" s="10">
        <v>1</v>
      </c>
      <c r="F133" s="10">
        <v>2</v>
      </c>
    </row>
    <row r="134" spans="1:6" x14ac:dyDescent="0.25">
      <c r="A134" s="10">
        <v>2</v>
      </c>
      <c r="B134" s="10">
        <v>1</v>
      </c>
      <c r="C134" s="13">
        <v>2</v>
      </c>
      <c r="D134" s="8">
        <v>1</v>
      </c>
      <c r="E134" s="10">
        <v>1</v>
      </c>
      <c r="F134" s="10">
        <v>1</v>
      </c>
    </row>
    <row r="135" spans="1:6" x14ac:dyDescent="0.25">
      <c r="A135" s="10">
        <v>2</v>
      </c>
      <c r="B135" s="10">
        <v>1</v>
      </c>
      <c r="C135" s="13">
        <v>2</v>
      </c>
      <c r="D135" s="8">
        <v>4</v>
      </c>
      <c r="E135" s="10">
        <v>2</v>
      </c>
      <c r="F135" s="10">
        <v>0</v>
      </c>
    </row>
    <row r="136" spans="1:6" x14ac:dyDescent="0.25">
      <c r="A136" s="10">
        <v>2</v>
      </c>
      <c r="B136" s="10">
        <v>1</v>
      </c>
      <c r="C136" s="13">
        <v>2</v>
      </c>
      <c r="D136" s="8">
        <v>3</v>
      </c>
      <c r="E136" s="10">
        <v>1</v>
      </c>
      <c r="F136" s="10">
        <v>1</v>
      </c>
    </row>
    <row r="137" spans="1:6" x14ac:dyDescent="0.25">
      <c r="A137" s="10">
        <v>2</v>
      </c>
      <c r="B137" s="10">
        <v>1</v>
      </c>
      <c r="C137" s="12">
        <v>1</v>
      </c>
      <c r="D137" s="8">
        <v>2</v>
      </c>
      <c r="E137" s="10">
        <v>1</v>
      </c>
      <c r="F137" s="10">
        <v>0</v>
      </c>
    </row>
    <row r="138" spans="1:6" x14ac:dyDescent="0.25">
      <c r="A138" s="10">
        <v>2</v>
      </c>
      <c r="B138" s="10">
        <v>1</v>
      </c>
      <c r="C138" s="12">
        <v>1</v>
      </c>
      <c r="D138" s="8">
        <v>2</v>
      </c>
      <c r="E138" s="10">
        <v>2</v>
      </c>
      <c r="F138" s="10">
        <v>0</v>
      </c>
    </row>
    <row r="139" spans="1:6" x14ac:dyDescent="0.25">
      <c r="A139" s="10">
        <v>2</v>
      </c>
      <c r="B139" s="10">
        <v>1</v>
      </c>
      <c r="C139" s="12">
        <v>1</v>
      </c>
      <c r="D139" s="8">
        <v>2</v>
      </c>
      <c r="E139" s="10">
        <v>2</v>
      </c>
      <c r="F139" s="10">
        <v>2</v>
      </c>
    </row>
    <row r="140" spans="1:6" x14ac:dyDescent="0.25">
      <c r="A140" s="10">
        <v>2</v>
      </c>
      <c r="B140" s="10">
        <v>1</v>
      </c>
      <c r="C140" s="12">
        <v>1</v>
      </c>
      <c r="D140" s="8">
        <v>3</v>
      </c>
      <c r="E140" s="10">
        <v>1</v>
      </c>
      <c r="F140" s="10">
        <v>0</v>
      </c>
    </row>
    <row r="141" spans="1:6" x14ac:dyDescent="0.25">
      <c r="A141" s="10">
        <v>1</v>
      </c>
      <c r="B141" s="10">
        <v>2</v>
      </c>
      <c r="C141" s="12">
        <v>1</v>
      </c>
      <c r="D141" s="8">
        <v>2</v>
      </c>
      <c r="E141" s="10">
        <v>2</v>
      </c>
      <c r="F141" s="10">
        <v>2</v>
      </c>
    </row>
    <row r="142" spans="1:6" x14ac:dyDescent="0.25">
      <c r="A142" s="10">
        <v>1</v>
      </c>
      <c r="B142" s="10">
        <v>2</v>
      </c>
      <c r="C142" s="12">
        <v>1</v>
      </c>
      <c r="D142" s="8">
        <v>4</v>
      </c>
      <c r="E142" s="10">
        <v>1</v>
      </c>
      <c r="F142" s="10">
        <v>2</v>
      </c>
    </row>
    <row r="143" spans="1:6" x14ac:dyDescent="0.25">
      <c r="A143" s="10">
        <v>2</v>
      </c>
      <c r="B143" s="10">
        <v>2</v>
      </c>
      <c r="C143" s="12">
        <v>3</v>
      </c>
      <c r="D143" s="8">
        <v>2</v>
      </c>
      <c r="E143" s="10">
        <v>2</v>
      </c>
      <c r="F143" s="10">
        <v>2</v>
      </c>
    </row>
    <row r="144" spans="1:6" x14ac:dyDescent="0.25">
      <c r="A144" s="10">
        <v>2</v>
      </c>
      <c r="B144" s="10">
        <v>1</v>
      </c>
      <c r="C144" s="12">
        <v>3</v>
      </c>
      <c r="D144" s="8">
        <v>2</v>
      </c>
      <c r="E144" s="10">
        <v>1</v>
      </c>
      <c r="F144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 Responses 1</vt:lpstr>
      <vt:lpstr>Aware &amp; Support Chi-Z test</vt:lpstr>
      <vt:lpstr>Descriptive Statistics</vt:lpstr>
      <vt:lpstr>Pearson Correlation</vt:lpstr>
      <vt:lpstr>Regression</vt:lpstr>
      <vt:lpstr>Household &amp; Waste Chi-Z test</vt:lpstr>
      <vt:lpstr>Gender &amp; Awrare Chi-Z test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Tawfiqul Islam Tamal</cp:lastModifiedBy>
  <dcterms:modified xsi:type="dcterms:W3CDTF">2026-03-12T07:37:54Z</dcterms:modified>
</cp:coreProperties>
</file>